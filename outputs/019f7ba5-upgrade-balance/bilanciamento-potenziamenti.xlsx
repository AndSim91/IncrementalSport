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a4123cefa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b52b247c9604e69"/>
    <x:sheet xmlns:r="http://schemas.openxmlformats.org/officeDocument/2006/relationships" name="Potenziamenti" sheetId="2" r:id="Rc853daf1b4e247d7"/>
    <x:sheet xmlns:r="http://schemas.openxmlformats.org/officeDocument/2006/relationships" name="Nuove proposte" sheetId="3" r:id="Rdffd1c225d8e404e"/>
    <x:sheet xmlns:r="http://schemas.openxmlformats.org/officeDocument/2006/relationships" name="Metodo e rischi" sheetId="4" r:id="R03b1e2ff94ee45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€#,##0"/>
    <x:numFmt numFmtId="201" formatCode="0"/>
    <x:numFmt numFmtId="202" formatCode="0%"/>
    <x:numFmt numFmtId="203" formatCode="0.0%"/>
    <x:numFmt numFmtId="204" formatCode="0.00"/>
    <x:numFmt numFmtId="205" formatCode="0.0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0"/>
      <x:color rgb="FF1F2933"/>
      <x:name val="Aptos"/>
    </x:font>
    <x:font>
      <x:i/>
      <x:sz val="10"/>
      <x:color rgb="FF1F2933"/>
      <x:name val="Aptos"/>
    </x:font>
    <x:font>
      <x:sz val="10"/>
      <x:color rgb="FF1F2933"/>
      <x:name val="Aptos"/>
    </x:font>
    <x:font>
      <x:b/>
      <x:sz val="18"/>
      <x:color rgb="FFFFFFFF"/>
      <x:name val="Aptos Display"/>
    </x:font>
    <x:font>
      <x:b/>
      <x:sz val="10"/>
      <x:color rgb="FFFFFFFF"/>
      <x:name val="Aptos"/>
    </x:font>
    <x:font>
      <x:sz val="9"/>
      <x:name val="Aptos"/>
    </x:font>
    <x:font>
      <x:sz val="1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6690"/>
      </x:patternFill>
    </x:fill>
    <x:fill>
      <x:patternFill patternType="solid">
        <x:fgColor rgb="FFF7F9FB"/>
      </x:patternFill>
    </x:fill>
    <x:fill>
      <x:patternFill patternType="solid">
        <x:fgColor rgb="FFFFF4D6"/>
      </x:patternFill>
    </x:fill>
    <x:fill>
      <x:patternFill patternType="solid">
        <x:fgColor rgb="FFFCE8E6"/>
      </x:patternFill>
    </x:fill>
  </x:fills>
  <x:borders count="11">
    <x:border/>
    <x:border>
      <x:right style="thin">
        <x:color rgb="FFD8E0E7"/>
      </x:right>
      <x:bottom style="thin">
        <x:color rgb="FFD8E0E7"/>
      </x:bottom>
    </x:border>
    <x:border>
      <x:left style="thin">
        <x:color rgb="FFD8E0E7"/>
      </x:left>
      <x:bottom style="thin">
        <x:color rgb="FFD8E0E7"/>
      </x:bottom>
    </x:border>
    <x:border>
      <x:right style="thin">
        <x:color rgb="FFD8E0E7"/>
      </x:right>
      <x:top style="thin">
        <x:color rgb="FFD8E0E7"/>
      </x:top>
      <x:bottom style="thin">
        <x:color rgb="FFD8E0E7"/>
      </x:bottom>
    </x:border>
    <x:border>
      <x:left style="thin">
        <x:color rgb="FFD8E0E7"/>
      </x:left>
      <x:top style="thin">
        <x:color rgb="FFD8E0E7"/>
      </x:top>
      <x:bottom style="thin">
        <x:color rgb="FFD8E0E7"/>
      </x:bottom>
    </x:border>
    <x:border>
      <x:right style="thin">
        <x:color rgb="FFD8E0E7"/>
      </x:right>
      <x:top style="thin">
        <x:color rgb="FFD8E0E7"/>
      </x:top>
    </x:border>
    <x:border>
      <x:left style="thin">
        <x:color rgb="FFD8E0E7"/>
      </x:left>
      <x:top style="thin">
        <x:color rgb="FFD8E0E7"/>
      </x:top>
    </x:border>
    <x:border>
      <x:left style="thin">
        <x:color rgb="FFD8E0E7"/>
      </x:left>
      <x:right style="thin">
        <x:color rgb="FFD8E0E7"/>
      </x:right>
      <x:bottom style="thin">
        <x:color rgb="FFD8E0E7"/>
      </x:bottom>
    </x:border>
    <x:border>
      <x:left style="thin">
        <x:color rgb="FFD8E0E7"/>
      </x:left>
      <x:right style="thin">
        <x:color rgb="FFD8E0E7"/>
      </x:right>
      <x:top style="thin">
        <x:color rgb="FFD8E0E7"/>
      </x:top>
      <x:bottom style="thin">
        <x:color rgb="FFD8E0E7"/>
      </x:bottom>
    </x:border>
    <x:border>
      <x:left style="thin">
        <x:color rgb="FFD8E0E7"/>
      </x:left>
      <x:right style="thin">
        <x:color rgb="FFD8E0E7"/>
      </x:right>
      <x:top style="thin">
        <x:color rgb="FFD8E0E7"/>
      </x:top>
    </x:border>
    <x:border>
      <x:top style="thin">
        <x:color rgb="FFD8E0E7"/>
      </x:top>
      <x:bottom style="thin">
        <x:color rgb="FFD8E0E7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200" fontId="0" fillId="5" borderId="4" xfId="0" applyNumberFormat="1" applyFont="1" applyFill="1" applyBorder="1"/>
    <x:xf numFmtId="200" fontId="0" fillId="5" borderId="6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201" fontId="0" fillId="6" borderId="2" xfId="0" applyNumberFormat="1" applyFont="1" applyFill="1" applyBorder="1"/>
    <x:xf numFmtId="202" fontId="0" fillId="6" borderId="6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3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3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3" fontId="0" fillId="0" borderId="6" xfId="0" applyNumberFormat="1" applyFont="1" applyFill="1" applyBorder="1"/>
    <x:xf numFmtId="0" fontId="0" fillId="7" borderId="0" xfId="0" applyNumberFormat="1" applyFont="1" applyFill="1" applyBorder="1"/>
    <x:xf numFmtId="0" fontId="0" fillId="7" borderId="4" xfId="0" applyNumberFormat="1" applyFont="1" applyFill="1" applyBorder="1"/>
    <x:xf numFmtId="0" fontId="0" fillId="7" borderId="10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/>
    <x:xf numFmtId="0" fontId="0" fillId="6" borderId="10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4" fillId="4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6" borderId="1" xfId="0" applyNumberFormat="1" applyFont="1" applyFill="1" applyBorder="1"/>
    <x:xf numFmtId="201" fontId="6" fillId="6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6" borderId="5" xfId="0" applyNumberFormat="1" applyFont="1" applyFill="1" applyBorder="1"/>
    <x:xf numFmtId="202" fontId="6" fillId="6" borderId="6" xfId="0" applyNumberFormat="1" applyFont="1" applyFill="1" applyBorder="1"/>
    <x:xf numFmtId="200" fontId="6" fillId="5" borderId="4" xfId="0" applyNumberFormat="1" applyFont="1" applyFill="1" applyBorder="1"/>
    <x:xf numFmtId="0" fontId="6" fillId="5" borderId="5" xfId="0" applyNumberFormat="1" applyFont="1" applyFill="1" applyBorder="1"/>
    <x:xf numFmtId="200" fontId="6" fillId="5" borderId="6" xfId="0" applyNumberFormat="1" applyFont="1" applyFill="1" applyBorder="1"/>
    <x:xf numFmtId="0" fontId="4" fillId="2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7" xfId="0" applyNumberFormat="1" applyFont="1" applyFill="1" applyBorder="1"/>
    <x:xf numFmtId="200" fontId="6" fillId="0" borderId="7" xfId="0" applyNumberFormat="1" applyFont="1" applyFill="1" applyBorder="1"/>
    <x:xf numFmtId="203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8" xfId="0" applyNumberFormat="1" applyFont="1" applyFill="1" applyBorder="1"/>
    <x:xf numFmtId="200" fontId="6" fillId="0" borderId="8" xfId="0" applyNumberFormat="1" applyFont="1" applyFill="1" applyBorder="1"/>
    <x:xf numFmtId="203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9" xfId="0" applyNumberFormat="1" applyFont="1" applyFill="1" applyBorder="1"/>
    <x:xf numFmtId="200" fontId="6" fillId="0" borderId="9" xfId="0" applyNumberFormat="1" applyFont="1" applyFill="1" applyBorder="1"/>
    <x:xf numFmtId="203" fontId="6" fillId="0" borderId="6" xfId="0" applyNumberFormat="1" applyFont="1" applyFill="1" applyBorder="1"/>
    <x:xf numFmtId="0" fontId="6" fillId="7" borderId="4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2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9" fillId="0" borderId="0" xfId="0" applyNumberFormat="1" applyFont="1" applyFill="1" applyBorder="1"/>
    <x:xf numFmtId="204" fontId="9" fillId="0" borderId="0" xfId="0" applyNumberFormat="1" applyFont="1" applyFill="1" applyBorder="1"/>
    <x:xf numFmtId="205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top"/>
    </x:xf>
    <x:xf numFmtId="204" fontId="9" fillId="0" borderId="0" xfId="0" applyNumberFormat="1" applyFont="1" applyFill="1" applyBorder="1" applyAlignment="1">
      <x:alignment vertical="top"/>
    </x:xf>
    <x:xf numFmtId="205" fontId="9" fillId="0" borderId="0" xfId="0" applyNumberFormat="1" applyFont="1" applyFill="1" applyBorder="1" applyAlignment="1">
      <x:alignment vertical="top"/>
    </x:xf>
    <x:xf numFmtId="200" fontId="9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4D6"/>
        </x:patternFill>
      </x:fill>
    </x:dxf>
    <x:dxf>
      <x:font>
        <x:b/>
        <x:color rgb="FF006100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4079dca2b4c67" /><Relationship Type="http://schemas.openxmlformats.org/officeDocument/2006/relationships/theme" Target="/xl/theme/theme1.xml" Id="Re3165f388a9447ff" /><Relationship Type="http://schemas.openxmlformats.org/officeDocument/2006/relationships/sharedStrings" Target="/xl/sharedStrings.xml" Id="R64726d8d37ac47fb" /><Relationship Type="http://schemas.openxmlformats.org/officeDocument/2006/relationships/worksheet" Target="/xl/worksheets/sheet1.xml" Id="R9b52b247c9604e69" /><Relationship Type="http://schemas.openxmlformats.org/officeDocument/2006/relationships/worksheet" Target="/xl/worksheets/sheet2.xml" Id="Rc853daf1b4e247d7" /><Relationship Type="http://schemas.openxmlformats.org/officeDocument/2006/relationships/worksheet" Target="/xl/worksheets/sheet3.xml" Id="Rdffd1c225d8e404e" /><Relationship Type="http://schemas.openxmlformats.org/officeDocument/2006/relationships/worksheet" Target="/xl/worksheets/sheet4.xml" Id="R03b1e2ff94ee45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d46fcf8cbf4d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Costo massimo per ramo (€)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N. upgrade</c:v>
          </c:tx>
          <c:cat>
            <c:strRef>
              <c:f>'Dashboard'!$A$15:$A$22</c:f>
              <c:strCache>
                <c:ptCount val="0"/>
              </c:strCache>
            </c:strRef>
          </c:cat>
          <c:val>
            <c:numRef>
              <c:f>'Dashboard'!$B$15:$B$22</c:f>
              <c:numCache>
                <c:formatCode>€#,##0</c:formatCode>
                <c:ptCount val="0"/>
              </c:numCache>
            </c:numRef>
          </c:val>
        </c:ser>
        <c:ser>
          <c:idx val="1"/>
          <c:order val="1"/>
          <c:tx>
            <c:v>Costo massimo</c:v>
          </c:tx>
          <c:cat>
            <c:strRef>
              <c:f>'Dashboard'!$A$15:$A$22</c:f>
              <c:strCache>
                <c:ptCount val="0"/>
              </c:strCache>
            </c:strRef>
          </c:cat>
          <c:val>
            <c:numRef>
              <c:f>'Dashboard'!$C$15:$C$22</c:f>
              <c:numCache>
                <c:formatCode>€#,##0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d46fcf8cbf4d5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pgradeCatalog" displayName="UpgradeCatalog" ref="A4:W53" headerRowCount="1" totalsRowCount="0" totalsRowShown="0">
  <x:autoFilter ref="A4:W53"/>
  <x:tableColumns count="23">
    <x:tableColumn id="1" name="Ramo"/>
    <x:tableColumn id="2" name="Ordine"/>
    <x:tableColumn id="3" name="ID"/>
    <x:tableColumn id="4" name="Potenziamento"/>
    <x:tableColumn id="5" name="Iscritti storici"/>
    <x:tableColumn id="6" name="Livelli"/>
    <x:tableColumn id="7" name="Effetto primario"/>
    <x:tableColumn id="8" name="Effetto/liv"/>
    <x:tableColumn id="9" name="Effetto secondario"/>
    <x:tableColumn id="10" name="Crescita"/>
    <x:tableColumn id="11" name="Costo base"/>
    <x:tableColumn id="12" name="L1"/>
    <x:tableColumn id="13" name="L2"/>
    <x:tableColumn id="14" name="L3"/>
    <x:tableColumn id="15" name="L4"/>
    <x:tableColumn id="16" name="L5"/>
    <x:tableColumn id="17" name="Costo max"/>
    <x:tableColumn id="18" name="Cumulativo ramo"/>
    <x:tableColumn id="19" name="Effetto max"/>
    <x:tableColumn id="20" name="Voto"/>
    <x:tableColumn id="21" name="Diagnosi bilanciamento"/>
    <x:tableColumn id="22" name="Nota runtime"/>
    <x:tableColumn id="23" name="Fo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pgradeProposals" displayName="UpgradeProposals" ref="A4:J14" headerRowCount="1" totalsRowCount="0" totalsRowShown="0">
  <x:tableColumns count="10">
    <x:tableColumn id="1" name="Priorità"/>
    <x:tableColumn id="2" name="Nome"/>
    <x:tableColumn id="3" name="Ramo"/>
    <x:tableColumn id="4" name="Posizione"/>
    <x:tableColumn id="5" name="Nuovo effetto"/>
    <x:tableColumn id="6" name="Effetto suggerito"/>
    <x:tableColumn id="7" name="Costo base"/>
    <x:tableColumn id="8" name="Crescita"/>
    <x:tableColumn id="9" name="Rischio"/>
    <x:tableColumn id="10" name="Razionale / guardrai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lanceMethod" displayName="BalanceMethod" ref="A4:F19" headerRowCount="1" totalsRowCount="0" totalsRowShown="0">
  <x:tableColumns count="6">
    <x:tableColumn id="1" name="Tema"/>
    <x:tableColumn id="2" name="Formula / comportamento"/>
    <x:tableColumn id="3" name="Massimo catalogo"/>
    <x:tableColumn id="4" name="Cap / interazione"/>
    <x:tableColumn id="5" name="Impatto bilanciamento"/>
    <x:tableColumn id="6" name="Fonte run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82fabfaef840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0ce59a15634e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36836fdabb4e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2be85d54bd4a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23" hidden="0" customWidth="1"/>
    <x:col min="5" max="5" width="15" hidden="0" customWidth="1"/>
  </x:cols>
  <x:sheetData>
    <x:row r="1" ht="34" customHeight="1">
      <x:c r="A1" s="86" t="str">
        <x:v>Bilanciamento potenziamenti</x:v>
      </x:c>
      <x:c r="B1" s="86" t="str">
        <x:v>Bilanciamento potenziamenti</x:v>
      </x:c>
      <x:c r="C1" s="86" t="str">
        <x:v>Bilanciamento potenziamenti</x:v>
      </x:c>
      <x:c r="D1" s="86" t="str">
        <x:v>Bilanciamento potenziamenti</x:v>
      </x:c>
      <x:c r="E1" s="86" t="str">
        <x:v>Bilanciamento potenziamenti</x:v>
      </x:c>
      <x:c r="F1" s="86" t="str">
        <x:v>Bilanciamento potenziamenti</x:v>
      </x:c>
      <x:c r="G1" s="86" t="str">
        <x:v>Bilanciamento potenziamenti</x:v>
      </x:c>
      <x:c r="H1" s="86" t="str">
        <x:v>Bilanciamento potenziamenti</x:v>
      </x:c>
      <x:c r="I1" s="86" t="str">
        <x:v>Bilanciamento potenziamenti</x:v>
      </x:c>
      <x:c r="J1" s="86" t="str">
        <x:v>Bilanciamento potenziamenti</x:v>
      </x:c>
      <x:c r="K1" s="86" t="str">
        <x:v>Bilanciamento potenziamenti</x:v>
      </x:c>
      <x:c r="L1" s="86" t="str">
        <x:v>Bilanciamento potenziamenti</x:v>
      </x:c>
      <x:c r="M1" s="86" t="str">
        <x:v>Bilanciamento potenziamenti</x:v>
      </x:c>
    </x:row>
    <x:row r="2">
      <x:c r="A2" s="86" t="str">
        <x:v>Bilanciamento potenziamenti</x:v>
      </x:c>
      <x:c r="B2" s="86" t="str">
        <x:v>Bilanciamento potenziamenti</x:v>
      </x:c>
      <x:c r="C2" s="86" t="str">
        <x:v>Bilanciamento potenziamenti</x:v>
      </x:c>
      <x:c r="D2" s="86" t="str">
        <x:v>Bilanciamento potenziamenti</x:v>
      </x:c>
      <x:c r="E2" s="86" t="str">
        <x:v>Bilanciamento potenziamenti</x:v>
      </x:c>
      <x:c r="F2" s="86" t="str">
        <x:v>Bilanciamento potenziamenti</x:v>
      </x:c>
      <x:c r="G2" s="86" t="str">
        <x:v>Bilanciamento potenziamenti</x:v>
      </x:c>
      <x:c r="H2" s="86" t="str">
        <x:v>Bilanciamento potenziamenti</x:v>
      </x:c>
      <x:c r="I2" s="86" t="str">
        <x:v>Bilanciamento potenziamenti</x:v>
      </x:c>
      <x:c r="J2" s="86" t="str">
        <x:v>Bilanciamento potenziamenti</x:v>
      </x:c>
      <x:c r="K2" s="86" t="str">
        <x:v>Bilanciamento potenziamenti</x:v>
      </x:c>
      <x:c r="L2" s="86" t="str">
        <x:v>Bilanciamento potenziamenti</x:v>
      </x:c>
      <x:c r="M2" s="86" t="str">
        <x:v>Bilanciamento potenziamenti</x:v>
      </x:c>
    </x:row>
    <x:row r="3" ht="24" customHeight="1">
      <x:c r="A3" s="53" t="str">
        <x:v>Snapshot del catalogo runtime · 49 upgrade · costi e formule modificabili</x:v>
      </x:c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</x:row>
    <x:row r="4">
      <x:c r="A4" s="54"/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</x:row>
    <x:row r="5">
      <x:c r="A5" s="87" t="str">
        <x:v>KPI</x:v>
      </x:c>
      <x:c r="B5" s="87" t="str">
        <x:v>Valore</x:v>
      </x:c>
      <x:c r="C5" s="54"/>
      <x:c r="D5" s="87" t="str">
        <x:v>Assunzione modificabile</x:v>
      </x:c>
      <x:c r="E5" s="87" t="str">
        <x:v>Valore</x:v>
      </x:c>
      <x:c r="F5" s="54"/>
      <x:c r="G5" s="54"/>
      <x:c r="H5" s="54"/>
      <x:c r="I5" s="54"/>
      <x:c r="J5" s="54"/>
      <x:c r="K5" s="54"/>
      <x:c r="L5" s="54"/>
      <x:c r="M5" s="54"/>
    </x:row>
    <x:row r="6">
      <x:c r="A6" s="56" t="str">
        <x:v>Potenziamenti</x:v>
      </x:c>
      <x:c r="B6" s="57" t="n">
        <x:f>COUNTA('Potenziamenti'!$C$5:$C$53)</x:f>
        <x:v>49</x:v>
      </x:c>
      <x:c r="C6" s="54"/>
      <x:c r="D6" s="58" t="str">
        <x:v>Scuole fondate</x:v>
      </x:c>
      <x:c r="E6" s="59" t="n">
        <x:v>0</x:v>
      </x:c>
      <x:c r="F6" s="54"/>
      <x:c r="G6" s="54"/>
      <x:c r="H6" s="54"/>
      <x:c r="I6" s="54"/>
      <x:c r="J6" s="54"/>
      <x:c r="K6" s="54"/>
      <x:c r="L6" s="54"/>
      <x:c r="M6" s="54"/>
    </x:row>
    <x:row r="7">
      <x:c r="A7" s="60" t="str">
        <x:v>Rami</x:v>
      </x:c>
      <x:c r="B7" s="61" t="n">
        <x:f>COUNTA($A$15:$A$22)</x:f>
        <x:v>8</x:v>
      </x:c>
      <x:c r="C7" s="54"/>
      <x:c r="D7" s="62" t="str">
        <x:v>Rincaro per scuola</x:v>
      </x:c>
      <x:c r="E7" s="63" t="n">
        <x:v>0.15</x:v>
      </x:c>
      <x:c r="F7" s="54"/>
      <x:c r="G7" s="54"/>
      <x:c r="H7" s="54"/>
      <x:c r="I7" s="54"/>
      <x:c r="J7" s="54"/>
      <x:c r="K7" s="54"/>
      <x:c r="L7" s="54"/>
      <x:c r="M7" s="54"/>
    </x:row>
    <x:row r="8">
      <x:c r="A8" s="60" t="str">
        <x:v>Costo totale</x:v>
      </x:c>
      <x:c r="B8" s="64" t="n">
        <x:f>SUM('Potenziamenti'!$Q$5:$Q$53)</x:f>
        <x:v>1006555</x:v>
      </x:c>
      <x:c r="C8" s="54"/>
      <x:c r="D8" s="54"/>
      <x:c r="E8" s="54"/>
      <x:c r="F8" s="54"/>
      <x:c r="G8" s="54"/>
      <x:c r="H8" s="54"/>
      <x:c r="I8" s="54"/>
      <x:c r="J8" s="54"/>
      <x:c r="K8" s="54"/>
      <x:c r="L8" s="54"/>
      <x:c r="M8" s="54"/>
    </x:row>
    <x:row r="9">
      <x:c r="A9" s="65" t="str">
        <x:v>Costo ramo Istruttori</x:v>
      </x:c>
      <x:c r="B9" s="66" t="n">
        <x:f>SUMIF('Potenziamenti'!$A$5:$A$53,"Istruttori",'Potenziamenti'!$Q$5:$Q$53)</x:f>
        <x:v>246696</x:v>
      </x:c>
      <x:c r="C9" s="54"/>
      <x:c r="D9" s="54"/>
      <x:c r="E9" s="54"/>
      <x:c r="F9" s="54"/>
      <x:c r="G9" s="54"/>
      <x:c r="H9" s="54"/>
      <x:c r="I9" s="54"/>
      <x:c r="J9" s="54"/>
      <x:c r="K9" s="54"/>
      <x:c r="L9" s="54"/>
      <x:c r="M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</x:row>
    <x:row r="11">
      <x:c r="A11" s="54"/>
      <x:c r="B11" s="54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4"/>
    </x:row>
    <x:row r="13">
      <x:c r="A13" s="88" t="str">
        <x:v>Costo per ramo</x:v>
      </x:c>
      <x:c r="B13" s="88"/>
      <x:c r="C13" s="88"/>
      <x:c r="D13" s="88"/>
      <x:c r="E13" s="54"/>
      <x:c r="F13" s="54"/>
      <x:c r="G13" s="54"/>
      <x:c r="H13" s="54"/>
      <x:c r="I13" s="54"/>
      <x:c r="J13" s="54"/>
      <x:c r="K13" s="54"/>
      <x:c r="L13" s="54"/>
      <x:c r="M13" s="54"/>
    </x:row>
    <x:row r="14">
      <x:c r="A14" s="87" t="str">
        <x:v>Ramo</x:v>
      </x:c>
      <x:c r="B14" s="87" t="str">
        <x:v>N. upgrade</x:v>
      </x:c>
      <x:c r="C14" s="87" t="str">
        <x:v>Costo massimo</x:v>
      </x:c>
      <x:c r="D14" s="87" t="str">
        <x:v>Quota</x:v>
      </x:c>
      <x:c r="E14" s="54"/>
      <x:c r="F14" s="54"/>
      <x:c r="G14" s="54"/>
      <x:c r="H14" s="54"/>
      <x:c r="I14" s="54"/>
      <x:c r="J14" s="54"/>
      <x:c r="K14" s="54"/>
      <x:c r="L14" s="54"/>
      <x:c r="M14" s="54"/>
    </x:row>
    <x:row r="15">
      <x:c r="A15" s="68" t="str">
        <x:v>Velocità</x:v>
      </x:c>
      <x:c r="B15" s="69" t="n">
        <x:f>COUNTIF('Potenziamenti'!$A$5:$A$53,A15)</x:f>
        <x:v>6</x:v>
      </x:c>
      <x:c r="C15" s="70" t="n">
        <x:f>SUMIF('Potenziamenti'!$A$5:$A$53,A15,'Potenziamenti'!$Q$5:$Q$53)</x:f>
        <x:v>95181</x:v>
      </x:c>
      <x:c r="D15" s="71" t="n">
        <x:f>C15/$B$8</x:f>
        <x:v>0.09456115165092817</x:v>
      </x:c>
      <x:c r="E15" s="54"/>
      <x:c r="F15" s="54"/>
      <x:c r="G15" s="54"/>
      <x:c r="H15" s="54"/>
      <x:c r="I15" s="54"/>
      <x:c r="J15" s="54"/>
      <x:c r="K15" s="54"/>
      <x:c r="L15" s="54"/>
      <x:c r="M15" s="54"/>
    </x:row>
    <x:row r="16">
      <x:c r="A16" s="72" t="str">
        <x:v>Carisma</x:v>
      </x:c>
      <x:c r="B16" s="73" t="n">
        <x:f>COUNTIF('Potenziamenti'!$A$5:$A$53,A16)</x:f>
        <x:v>7</x:v>
      </x:c>
      <x:c r="C16" s="74" t="n">
        <x:f>SUMIF('Potenziamenti'!$A$5:$A$53,A16,'Potenziamenti'!$Q$5:$Q$53)</x:f>
        <x:v>96312</x:v>
      </x:c>
      <x:c r="D16" s="75" t="n">
        <x:f>C16/$B$8</x:f>
        <x:v>0.09568478622628669</x:v>
      </x:c>
      <x:c r="E16" s="54"/>
      <x:c r="F16" s="54"/>
      <x:c r="G16" s="54"/>
      <x:c r="H16" s="54"/>
      <x:c r="I16" s="54"/>
      <x:c r="J16" s="54"/>
      <x:c r="K16" s="54"/>
      <x:c r="L16" s="54"/>
      <x:c r="M16" s="54"/>
    </x:row>
    <x:row r="17">
      <x:c r="A17" s="72" t="str">
        <x:v>Scrittura</x:v>
      </x:c>
      <x:c r="B17" s="73" t="n">
        <x:f>COUNTIF('Potenziamenti'!$A$5:$A$53,A17)</x:f>
        <x:v>7</x:v>
      </x:c>
      <x:c r="C17" s="74" t="n">
        <x:f>SUMIF('Potenziamenti'!$A$5:$A$53,A17,'Potenziamenti'!$Q$5:$Q$53)</x:f>
        <x:v>56747</x:v>
      </x:c>
      <x:c r="D17" s="75" t="n">
        <x:f>C17/$B$8</x:f>
        <x:v>0.0563774458425024</x:v>
      </x:c>
      <x:c r="E17" s="54"/>
      <x:c r="F17" s="54"/>
      <x:c r="G17" s="54"/>
      <x:c r="H17" s="54"/>
      <x:c r="I17" s="54"/>
      <x:c r="J17" s="54"/>
      <x:c r="K17" s="54"/>
      <x:c r="L17" s="54"/>
      <x:c r="M17" s="54"/>
    </x:row>
    <x:row r="18">
      <x:c r="A18" s="72" t="str">
        <x:v>Accoglienza</x:v>
      </x:c>
      <x:c r="B18" s="73" t="n">
        <x:f>COUNTIF('Potenziamenti'!$A$5:$A$53,A18)</x:f>
        <x:v>6</x:v>
      </x:c>
      <x:c r="C18" s="74" t="n">
        <x:f>SUMIF('Potenziamenti'!$A$5:$A$53,A18,'Potenziamenti'!$Q$5:$Q$53)</x:f>
        <x:v>88850</x:v>
      </x:c>
      <x:c r="D18" s="75" t="n">
        <x:f>C18/$B$8</x:f>
        <x:v>0.08827138109690975</x:v>
      </x:c>
      <x:c r="E18" s="54"/>
      <x:c r="F18" s="54"/>
      <x:c r="G18" s="54"/>
      <x:c r="H18" s="54"/>
      <x:c r="I18" s="54"/>
      <x:c r="J18" s="54"/>
      <x:c r="K18" s="54"/>
      <x:c r="L18" s="54"/>
      <x:c r="M18" s="54"/>
    </x:row>
    <x:row r="19">
      <x:c r="A19" s="72" t="str">
        <x:v>Social</x:v>
      </x:c>
      <x:c r="B19" s="73" t="n">
        <x:f>COUNTIF('Potenziamenti'!$A$5:$A$53,A19)</x:f>
        <x:v>7</x:v>
      </x:c>
      <x:c r="C19" s="74" t="n">
        <x:f>SUMIF('Potenziamenti'!$A$5:$A$53,A19,'Potenziamenti'!$Q$5:$Q$53)</x:f>
        <x:v>143787</x:v>
      </x:c>
      <x:c r="D19" s="75" t="n">
        <x:f>C19/$B$8</x:f>
        <x:v>0.14285061422376324</x:v>
      </x:c>
      <x:c r="E19" s="54"/>
      <x:c r="F19" s="54"/>
      <x:c r="G19" s="54"/>
      <x:c r="H19" s="54"/>
      <x:c r="I19" s="54"/>
      <x:c r="J19" s="54"/>
      <x:c r="K19" s="54"/>
      <x:c r="L19" s="54"/>
      <x:c r="M19" s="54"/>
    </x:row>
    <x:row r="20">
      <x:c r="A20" s="72" t="str">
        <x:v>Attrezzatura</x:v>
      </x:c>
      <x:c r="B20" s="73" t="n">
        <x:f>COUNTIF('Potenziamenti'!$A$5:$A$53,A20)</x:f>
        <x:v>7</x:v>
      </x:c>
      <x:c r="C20" s="74" t="n">
        <x:f>SUMIF('Potenziamenti'!$A$5:$A$53,A20,'Potenziamenti'!$Q$5:$Q$53)</x:f>
        <x:v>141074</x:v>
      </x:c>
      <x:c r="D20" s="75" t="n">
        <x:f>C20/$B$8</x:f>
        <x:v>0.14015528212566625</x:v>
      </x:c>
      <x:c r="E20" s="54"/>
      <x:c r="F20" s="54"/>
      <x:c r="G20" s="54"/>
      <x:c r="H20" s="54"/>
      <x:c r="I20" s="54"/>
      <x:c r="J20" s="54"/>
      <x:c r="K20" s="54"/>
      <x:c r="L20" s="54"/>
      <x:c r="M20" s="54"/>
    </x:row>
    <x:row r="21">
      <x:c r="A21" s="72" t="str">
        <x:v>Organizzazione</x:v>
      </x:c>
      <x:c r="B21" s="73" t="n">
        <x:f>COUNTIF('Potenziamenti'!$A$5:$A$53,A21)</x:f>
        <x:v>6</x:v>
      </x:c>
      <x:c r="C21" s="74" t="n">
        <x:f>SUMIF('Potenziamenti'!$A$5:$A$53,A21,'Potenziamenti'!$Q$5:$Q$53)</x:f>
        <x:v>137908</x:v>
      </x:c>
      <x:c r="D21" s="75" t="n">
        <x:f>C21/$B$8</x:f>
        <x:v>0.13700990010481295</x:v>
      </x:c>
      <x:c r="E21" s="54"/>
      <x:c r="F21" s="54"/>
      <x:c r="G21" s="54"/>
      <x:c r="H21" s="54"/>
      <x:c r="I21" s="54"/>
      <x:c r="J21" s="54"/>
      <x:c r="K21" s="54"/>
      <x:c r="L21" s="54"/>
      <x:c r="M21" s="54"/>
    </x:row>
    <x:row r="22">
      <x:c r="A22" s="76" t="str">
        <x:v>Istruttori</x:v>
      </x:c>
      <x:c r="B22" s="77" t="n">
        <x:f>COUNTIF('Potenziamenti'!$A$5:$A$53,A22)</x:f>
        <x:v>3</x:v>
      </x:c>
      <x:c r="C22" s="78" t="n">
        <x:f>SUMIF('Potenziamenti'!$A$5:$A$53,A22,'Potenziamenti'!$Q$5:$Q$53)</x:f>
        <x:v>246696</x:v>
      </x:c>
      <x:c r="D22" s="79" t="n">
        <x:f>C22/$B$8</x:f>
        <x:v>0.24508943872913055</x:v>
      </x:c>
      <x:c r="E22" s="54"/>
      <x:c r="F22" s="54"/>
      <x:c r="G22" s="54"/>
      <x:c r="H22" s="54"/>
      <x:c r="I22" s="54"/>
      <x:c r="J22" s="54"/>
      <x:c r="K22" s="54"/>
      <x:c r="L22" s="54"/>
      <x:c r="M22" s="54"/>
    </x:row>
    <x:row r="23">
      <x:c r="A23" s="54"/>
      <x:c r="B23" s="54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4"/>
    </x:row>
    <x:row r="24">
      <x:c r="A24" s="54"/>
      <x:c r="B24" s="54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4"/>
    </x:row>
    <x:row r="25">
      <x:c r="A25" s="88" t="str">
        <x:v>Criticità prioritarie</x:v>
      </x:c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</x:row>
    <x:row r="26" ht="28" customHeight="1">
      <x:c r="A26" s="80" t="str">
        <x:v>1. writingPower usa floor: livelli frazionari possono non produrre alcun beneficio immediato.</x:v>
      </x:c>
      <x:c r="B26" s="81"/>
      <x:c r="C26" s="81"/>
      <x:c r="D26" s="81"/>
      <x:c r="E26" s="81"/>
      <x:c r="F26" s="81"/>
      <x:c r="G26" s="81"/>
      <x:c r="H26" s="81"/>
      <x:c r="I26" s="81"/>
      <x:c r="J26" s="81"/>
      <x:c r="K26" s="81"/>
      <x:c r="L26" s="81"/>
      <x:c r="M26" s="82"/>
    </x:row>
    <x:row r="27" ht="28" customHeight="1">
      <x:c r="A27" s="80" t="str">
        <x:v>2. Riduzione usura: 125% acquistabile contro cap effettivo 80%; livelli finali possono essere inerti.</x:v>
      </x:c>
      <x:c r="B27" s="81"/>
      <x:c r="C27" s="81"/>
      <x:c r="D27" s="81"/>
      <x:c r="E27" s="81"/>
      <x:c r="F27" s="81"/>
      <x:c r="G27" s="81"/>
      <x:c r="H27" s="81"/>
      <x:c r="I27" s="81"/>
      <x:c r="J27" s="81"/>
      <x:c r="K27" s="81"/>
      <x:c r="L27" s="81"/>
      <x:c r="M27" s="82"/>
    </x:row>
    <x:row r="28" ht="28" customHeight="1">
      <x:c r="A28" s="80" t="str">
        <x:v>3. Prenotazioni: il +575% nominale satura a 100% molto prima, soprattutto per rarità comuni.</x:v>
      </x:c>
      <x:c r="B28" s="81"/>
      <x:c r="C28" s="81"/>
      <x:c r="D28" s="81"/>
      <x:c r="E28" s="81"/>
      <x:c r="F28" s="81"/>
      <x:c r="G28" s="81"/>
      <x:c r="H28" s="81"/>
      <x:c r="I28" s="81"/>
      <x:c r="J28" s="81"/>
      <x:c r="K28" s="81"/>
      <x:c r="L28" s="81"/>
      <x:c r="M28" s="82"/>
    </x:row>
    <x:row r="29" ht="28" customHeight="1">
      <x:c r="A29" s="80" t="str">
        <x:v>4. Accoglienza: le percentuali sono un indice normalizzato su 5, non moltiplicatori diretti.</x:v>
      </x:c>
      <x:c r="B29" s="81"/>
      <x:c r="C29" s="81"/>
      <x:c r="D29" s="81"/>
      <x:c r="E29" s="81"/>
      <x:c r="F29" s="81"/>
      <x:c r="G29" s="81"/>
      <x:c r="H29" s="81"/>
      <x:c r="I29" s="81"/>
      <x:c r="J29" s="81"/>
      <x:c r="K29" s="81"/>
      <x:c r="L29" s="81"/>
      <x:c r="M29" s="82"/>
    </x:row>
    <x:row r="30" ht="28" customHeight="1">
      <x:c r="A30" s="83" t="str">
        <x:v>5. Social×Automazione arriva teoricamente a 9,75×8 = 78× sulla produzione passiva.</x:v>
      </x:c>
      <x:c r="B30" s="84"/>
      <x:c r="C30" s="84"/>
      <x:c r="D30" s="84"/>
      <x:c r="E30" s="84"/>
      <x:c r="F30" s="84"/>
      <x:c r="G30" s="84"/>
      <x:c r="H30" s="84"/>
      <x:c r="I30" s="84"/>
      <x:c r="J30" s="84"/>
      <x:c r="K30" s="84"/>
      <x:c r="L30" s="84"/>
      <x:c r="M30" s="85"/>
    </x:row>
    <x:row r="31" ht="28" customHeight="1">
      <x:c r="A31" s="83" t="str">
        <x:v>6. Rastrelliera: costo minimo €375/spada contro €330 per una spada ufficiale acquistabile.</x:v>
      </x:c>
      <x:c r="B31" s="84"/>
      <x:c r="C31" s="84"/>
      <x:c r="D31" s="84"/>
      <x:c r="E31" s="84"/>
      <x:c r="F31" s="84"/>
      <x:c r="G31" s="84"/>
      <x:c r="H31" s="84"/>
      <x:c r="I31" s="84"/>
      <x:c r="J31" s="84"/>
      <x:c r="K31" s="84"/>
      <x:c r="L31" s="84"/>
      <x:c r="M31" s="85"/>
    </x:row>
    <x:row r="32" ht="28" customHeight="1">
      <x:c r="A32" s="83" t="str">
        <x:v>7. Foto/Video Social dichiarano sblocchi grafici non collegati al runtime.</x:v>
      </x:c>
      <x:c r="B32" s="84"/>
      <x:c r="C32" s="84"/>
      <x:c r="D32" s="84"/>
      <x:c r="E32" s="84"/>
      <x:c r="F32" s="84"/>
      <x:c r="G32" s="84"/>
      <x:c r="H32" s="84"/>
      <x:c r="I32" s="84"/>
      <x:c r="J32" s="84"/>
      <x:c r="K32" s="84"/>
      <x:c r="L32" s="84"/>
      <x:c r="M32" s="85"/>
    </x:row>
    <x:row r="33" ht="28" customHeight="1">
      <x:c r="A33" s="83" t="str">
        <x:v>8. Il README dichiara 47 potenziamenti, ma il catalogo runtime ne contiene 49.</x:v>
      </x:c>
      <x:c r="B33" s="84"/>
      <x:c r="C33" s="84"/>
      <x:c r="D33" s="84"/>
      <x:c r="E33" s="84"/>
      <x:c r="F33" s="84"/>
      <x:c r="G33" s="84"/>
      <x:c r="H33" s="84"/>
      <x:c r="I33" s="84"/>
      <x:c r="J33" s="84"/>
      <x:c r="K33" s="84"/>
      <x:c r="L33" s="84"/>
      <x:c r="M33" s="85"/>
    </x:row>
  </x:sheetData>
  <x:mergeCells>
    <x:mergeCell ref="A1:M2"/>
    <x:mergeCell ref="A3:M3"/>
    <x:mergeCell ref="A13:D13"/>
    <x:mergeCell ref="A25:M25"/>
    <x:mergeCell ref="A26:M26"/>
    <x:mergeCell ref="A27:M27"/>
    <x:mergeCell ref="A28:M28"/>
    <x:mergeCell ref="A29:M29"/>
    <x:mergeCell ref="A30:M30"/>
    <x:mergeCell ref="A31:M31"/>
    <x:mergeCell ref="A32:M32"/>
    <x:mergeCell ref="A33:M33"/>
  </x:mergeCells>
  <x:dataValidations count="1">
    <x:dataValidation type="whole" operator="between" sqref="E6">
      <x:formula1>0</x:formula1>
      <x:formula2>50</x:formula2>
    </x:dataValidation>
  </x:dataValidations>
  <x:pageMargins left="0.7" right="0.7" top="0.75" bottom="0.75" header="0.3" footer="0.3"/>
  <x:drawing xmlns:r="http://schemas.openxmlformats.org/officeDocument/2006/relationships" r:id="Rc482fabfaef8403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" hidden="0" customWidth="1"/>
    <x:col min="3" max="3" width="27" hidden="0" customWidth="1"/>
    <x:col min="4" max="4" width="32" hidden="0" customWidth="1"/>
    <x:col min="5" max="5" width="14" hidden="0" customWidth="1"/>
    <x:col min="6" max="6" width="9" hidden="0" customWidth="1"/>
    <x:col min="7" max="7" width="25" hidden="0" customWidth="1"/>
    <x:col min="8" max="8" width="11" hidden="0" customWidth="1"/>
    <x:col min="9" max="9" width="28" hidden="0" customWidth="1"/>
    <x:col min="10" max="10" width="10" hidden="0" customWidth="1"/>
    <x:col min="11" max="11" width="13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4" hidden="0" customWidth="1"/>
    <x:col min="18" max="18" width="17" hidden="0" customWidth="1"/>
    <x:col min="19" max="19" width="12" hidden="0" customWidth="1"/>
    <x:col min="20" max="20" width="8" hidden="0" customWidth="1"/>
    <x:col min="21" max="21" width="52" hidden="0" customWidth="1"/>
    <x:col min="22" max="22" width="44" hidden="0" customWidth="1"/>
    <x:col min="23" max="23" width="28" hidden="0" customWidth="1"/>
  </x:cols>
  <x:sheetData>
    <x:row r="1" ht="34" customHeight="1">
      <x:c r="A1" s="3" t="str">
        <x:v>Catalogo completo e diagnosi</x:v>
      </x:c>
      <x:c r="B1" s="3" t="str">
        <x:v>Catalogo completo e diagnosi</x:v>
      </x:c>
      <x:c r="C1" s="3" t="str">
        <x:v>Catalogo completo e diagnosi</x:v>
      </x:c>
      <x:c r="D1" s="3" t="str">
        <x:v>Catalogo completo e diagnosi</x:v>
      </x:c>
      <x:c r="E1" s="3" t="str">
        <x:v>Catalogo completo e diagnosi</x:v>
      </x:c>
      <x:c r="F1" s="3" t="str">
        <x:v>Catalogo completo e diagnosi</x:v>
      </x:c>
      <x:c r="G1" s="3" t="str">
        <x:v>Catalogo completo e diagnosi</x:v>
      </x:c>
      <x:c r="H1" s="3" t="str">
        <x:v>Catalogo completo e diagnosi</x:v>
      </x:c>
      <x:c r="I1" s="3" t="str">
        <x:v>Catalogo completo e diagnosi</x:v>
      </x:c>
      <x:c r="J1" s="3" t="str">
        <x:v>Catalogo completo e diagnosi</x:v>
      </x:c>
      <x:c r="K1" s="3" t="str">
        <x:v>Catalogo completo e diagnosi</x:v>
      </x:c>
      <x:c r="L1" s="3" t="str">
        <x:v>Catalogo completo e diagnosi</x:v>
      </x:c>
      <x:c r="M1" s="3" t="str">
        <x:v>Catalogo completo e diagnosi</x:v>
      </x:c>
      <x:c r="N1" s="3" t="str">
        <x:v>Catalogo completo e diagnosi</x:v>
      </x:c>
      <x:c r="O1" s="3" t="str">
        <x:v>Catalogo completo e diagnosi</x:v>
      </x:c>
      <x:c r="P1" s="3" t="str">
        <x:v>Catalogo completo e diagnosi</x:v>
      </x:c>
      <x:c r="Q1" s="3" t="str">
        <x:v>Catalogo completo e diagnosi</x:v>
      </x:c>
      <x:c r="R1" s="3" t="str">
        <x:v>Catalogo completo e diagnosi</x:v>
      </x:c>
      <x:c r="S1" s="3" t="str">
        <x:v>Catalogo completo e diagnosi</x:v>
      </x:c>
      <x:c r="T1" s="3" t="str">
        <x:v>Catalogo completo e diagnosi</x:v>
      </x:c>
      <x:c r="U1" s="3" t="str">
        <x:v>Catalogo completo e diagnosi</x:v>
      </x:c>
      <x:c r="V1" s="3" t="str">
        <x:v>Catalogo completo e diagnosi</x:v>
      </x:c>
      <x:c r="W1" s="3" t="str">
        <x:v>Catalogo completo e diagnosi</x:v>
      </x:c>
    </x:row>
    <x:row r="2">
      <x:c r="A2" s="3" t="str">
        <x:v>Catalogo completo e diagnosi</x:v>
      </x:c>
      <x:c r="B2" s="3" t="str">
        <x:v>Catalogo completo e diagnosi</x:v>
      </x:c>
      <x:c r="C2" s="3" t="str">
        <x:v>Catalogo completo e diagnosi</x:v>
      </x:c>
      <x:c r="D2" s="3" t="str">
        <x:v>Catalogo completo e diagnosi</x:v>
      </x:c>
      <x:c r="E2" s="3" t="str">
        <x:v>Catalogo completo e diagnosi</x:v>
      </x:c>
      <x:c r="F2" s="3" t="str">
        <x:v>Catalogo completo e diagnosi</x:v>
      </x:c>
      <x:c r="G2" s="3" t="str">
        <x:v>Catalogo completo e diagnosi</x:v>
      </x:c>
      <x:c r="H2" s="3" t="str">
        <x:v>Catalogo completo e diagnosi</x:v>
      </x:c>
      <x:c r="I2" s="3" t="str">
        <x:v>Catalogo completo e diagnosi</x:v>
      </x:c>
      <x:c r="J2" s="3" t="str">
        <x:v>Catalogo completo e diagnosi</x:v>
      </x:c>
      <x:c r="K2" s="3" t="str">
        <x:v>Catalogo completo e diagnosi</x:v>
      </x:c>
      <x:c r="L2" s="3" t="str">
        <x:v>Catalogo completo e diagnosi</x:v>
      </x:c>
      <x:c r="M2" s="3" t="str">
        <x:v>Catalogo completo e diagnosi</x:v>
      </x:c>
      <x:c r="N2" s="3" t="str">
        <x:v>Catalogo completo e diagnosi</x:v>
      </x:c>
      <x:c r="O2" s="3" t="str">
        <x:v>Catalogo completo e diagnosi</x:v>
      </x:c>
      <x:c r="P2" s="3" t="str">
        <x:v>Catalogo completo e diagnosi</x:v>
      </x:c>
      <x:c r="Q2" s="3" t="str">
        <x:v>Catalogo completo e diagnosi</x:v>
      </x:c>
      <x:c r="R2" s="3" t="str">
        <x:v>Catalogo completo e diagnosi</x:v>
      </x:c>
      <x:c r="S2" s="3" t="str">
        <x:v>Catalogo completo e diagnosi</x:v>
      </x:c>
      <x:c r="T2" s="3" t="str">
        <x:v>Catalogo completo e diagnosi</x:v>
      </x:c>
      <x:c r="U2" s="3" t="str">
        <x:v>Catalogo completo e diagnosi</x:v>
      </x:c>
      <x:c r="V2" s="3" t="str">
        <x:v>Catalogo completo e diagnosi</x:v>
      </x:c>
      <x:c r="W2" s="3" t="str">
        <x:v>Catalogo completo e diagnosi</x:v>
      </x:c>
    </x:row>
    <x:row r="3" ht="28" customHeight="1">
      <x:c r="A3" s="5" t="str">
        <x:v>Costi L1–L5 ricalcolati con le scuole fondate indicate nel Dashboard. Il voto valuta chiarezza, resa e rischio di spreco; non sostituisce una simulazione per profilo.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</x:row>
    <x:row r="4" ht="34" customHeight="1">
      <x:c r="A4" s="89" t="str">
        <x:v>Ramo</x:v>
      </x:c>
      <x:c r="B4" s="89" t="str">
        <x:v>Ordine</x:v>
      </x:c>
      <x:c r="C4" s="89" t="str">
        <x:v>ID</x:v>
      </x:c>
      <x:c r="D4" s="89" t="str">
        <x:v>Potenziamento</x:v>
      </x:c>
      <x:c r="E4" s="89" t="str">
        <x:v>Iscritti storici</x:v>
      </x:c>
      <x:c r="F4" s="89" t="str">
        <x:v>Livelli</x:v>
      </x:c>
      <x:c r="G4" s="89" t="str">
        <x:v>Effetto primario</x:v>
      </x:c>
      <x:c r="H4" s="89" t="str">
        <x:v>Effetto/liv</x:v>
      </x:c>
      <x:c r="I4" s="89" t="str">
        <x:v>Effetto secondario</x:v>
      </x:c>
      <x:c r="J4" s="89" t="str">
        <x:v>Crescita</x:v>
      </x:c>
      <x:c r="K4" s="89" t="str">
        <x:v>Costo base</x:v>
      </x:c>
      <x:c r="L4" s="89" t="str">
        <x:v>L1</x:v>
      </x:c>
      <x:c r="M4" s="89" t="str">
        <x:v>L2</x:v>
      </x:c>
      <x:c r="N4" s="89" t="str">
        <x:v>L3</x:v>
      </x:c>
      <x:c r="O4" s="89" t="str">
        <x:v>L4</x:v>
      </x:c>
      <x:c r="P4" s="89" t="str">
        <x:v>L5</x:v>
      </x:c>
      <x:c r="Q4" s="89" t="str">
        <x:v>Costo max</x:v>
      </x:c>
      <x:c r="R4" s="89" t="str">
        <x:v>Cumulativo ramo</x:v>
      </x:c>
      <x:c r="S4" s="89" t="str">
        <x:v>Effetto max</x:v>
      </x:c>
      <x:c r="T4" s="89" t="str">
        <x:v>Voto</x:v>
      </x:c>
      <x:c r="U4" s="89" t="str">
        <x:v>Diagnosi bilanciamento</x:v>
      </x:c>
      <x:c r="V4" s="89" t="str">
        <x:v>Nota runtime</x:v>
      </x:c>
      <x:c r="W4" s="89" t="str">
        <x:v>Fonte</x:v>
      </x:c>
    </x:row>
    <x:row r="5" ht="52" customHeight="1">
      <x:c r="A5" s="96" t="str">
        <x:v>Velocità</x:v>
      </x:c>
      <x:c r="B5" s="96" t="n">
        <x:v>1</x:v>
      </x:c>
      <x:c r="C5" s="96" t="str">
        <x:v>comfortable-keyboard</x:v>
      </x:c>
      <x:c r="D5" s="96" t="str">
        <x:v>Tastiera comoda</x:v>
      </x:c>
      <x:c r="E5" s="96" t="n">
        <x:v>0</x:v>
      </x:c>
      <x:c r="F5" s="96" t="n">
        <x:v>5</x:v>
      </x:c>
      <x:c r="G5" s="96" t="str">
        <x:v>writingPower</x:v>
      </x:c>
      <x:c r="H5" s="97" t="n">
        <x:v>0.2</x:v>
      </x:c>
      <x:c r="I5" s="100" t="str"/>
      <x:c r="J5" s="98" t="n">
        <x:v>1.3</x:v>
      </x:c>
      <x:c r="K5" s="99" t="n">
        <x:v>75</x:v>
      </x:c>
      <x:c r="L5" s="99" t="n">
        <x:f>IF(1&lt;=$F5,ROUND($K5*($J5^(1-1))*(1+'Dashboard'!$E$6*'Dashboard'!$E$7),0),"")</x:f>
        <x:v>75</x:v>
      </x:c>
      <x:c r="M5" s="99" t="n">
        <x:f>IF(2&lt;=$F5,ROUND($K5*($J5^(2-1))*(1+'Dashboard'!$E$6*'Dashboard'!$E$7),0),"")</x:f>
        <x:v>98</x:v>
      </x:c>
      <x:c r="N5" s="99" t="n">
        <x:f>IF(3&lt;=$F5,ROUND($K5*($J5^(3-1))*(1+'Dashboard'!$E$6*'Dashboard'!$E$7),0),"")</x:f>
        <x:v>127</x:v>
      </x:c>
      <x:c r="O5" s="99" t="n">
        <x:f>IF(4&lt;=$F5,ROUND($K5*($J5^(4-1))*(1+'Dashboard'!$E$6*'Dashboard'!$E$7),0),"")</x:f>
        <x:v>165</x:v>
      </x:c>
      <x:c r="P5" s="99" t="n">
        <x:f>IF(5&lt;=$F5,ROUND($K5*($J5^(5-1))*(1+'Dashboard'!$E$6*'Dashboard'!$E$7),0),"")</x:f>
        <x:v>214</x:v>
      </x:c>
      <x:c r="Q5" s="99" t="n">
        <x:f>SUM(L5:P5)</x:f>
        <x:v>679</x:v>
      </x:c>
      <x:c r="R5" s="99" t="n">
        <x:f>SUMIF($A$5:A5,A5,$Q$5:Q5)</x:f>
        <x:v>679</x:v>
      </x:c>
      <x:c r="S5" s="97" t="n">
        <x:f>H5*F5</x:f>
        <x:v>1</x:v>
      </x:c>
      <x:c r="T5" s="96" t="str">
        <x:v>C</x:v>
      </x:c>
      <x:c r="U5" s="100" t="str">
        <x:v>Le frazioni confluiscono in un floor globale: diversi livelli non cambiano subito i caratteri/input.</x:v>
      </x:c>
      <x:c r="V5" s="100" t="str">
        <x:v>Effetto generico; getWritingPower arrotonda per difetto.</x:v>
      </x:c>
      <x:c r="W5" s="96" t="str">
        <x:v>src/content/upgrades.ts</x:v>
      </x:c>
    </x:row>
    <x:row r="6" ht="52" customHeight="1">
      <x:c r="A6" s="96" t="str">
        <x:v>Velocità</x:v>
      </x:c>
      <x:c r="B6" s="96" t="n">
        <x:v>2</x:v>
      </x:c>
      <x:c r="C6" s="96" t="str">
        <x:v>quick-phrases</x:v>
      </x:c>
      <x:c r="D6" s="96" t="str">
        <x:v>Frasi rapide</x:v>
      </x:c>
      <x:c r="E6" s="96" t="n">
        <x:v>15</x:v>
      </x:c>
      <x:c r="F6" s="96" t="n">
        <x:v>5</x:v>
      </x:c>
      <x:c r="G6" s="96" t="str">
        <x:v>writingPower</x:v>
      </x:c>
      <x:c r="H6" s="97" t="n">
        <x:v>0.4</x:v>
      </x:c>
      <x:c r="I6" s="100" t="str"/>
      <x:c r="J6" s="98" t="n">
        <x:v>1.3</x:v>
      </x:c>
      <x:c r="K6" s="99" t="n">
        <x:v>400</x:v>
      </x:c>
      <x:c r="L6" s="99" t="n">
        <x:f>IF(1&lt;=$F6,ROUND($K6*($J6^(1-1))*(1+'Dashboard'!$E$6*'Dashboard'!$E$7),0),"")</x:f>
        <x:v>400</x:v>
      </x:c>
      <x:c r="M6" s="99" t="n">
        <x:f>IF(2&lt;=$F6,ROUND($K6*($J6^(2-1))*(1+'Dashboard'!$E$6*'Dashboard'!$E$7),0),"")</x:f>
        <x:v>520</x:v>
      </x:c>
      <x:c r="N6" s="99" t="n">
        <x:f>IF(3&lt;=$F6,ROUND($K6*($J6^(3-1))*(1+'Dashboard'!$E$6*'Dashboard'!$E$7),0),"")</x:f>
        <x:v>676</x:v>
      </x:c>
      <x:c r="O6" s="99" t="n">
        <x:f>IF(4&lt;=$F6,ROUND($K6*($J6^(4-1))*(1+'Dashboard'!$E$6*'Dashboard'!$E$7),0),"")</x:f>
        <x:v>879</x:v>
      </x:c>
      <x:c r="P6" s="99" t="n">
        <x:f>IF(5&lt;=$F6,ROUND($K6*($J6^(5-1))*(1+'Dashboard'!$E$6*'Dashboard'!$E$7),0),"")</x:f>
        <x:v>1142</x:v>
      </x:c>
      <x:c r="Q6" s="99" t="n">
        <x:f>SUM(L6:P6)</x:f>
        <x:v>3617</x:v>
      </x:c>
      <x:c r="R6" s="99" t="n">
        <x:f>SUMIF($A$5:A6,A6,$Q$5:Q6)</x:f>
        <x:v>4296</x:v>
      </x:c>
      <x:c r="S6" s="97" t="n">
        <x:f>H6*F6</x:f>
        <x:v>2</x:v>
      </x:c>
      <x:c r="T6" s="96" t="str">
        <x:v>B</x:v>
      </x:c>
      <x:c r="U6" s="100" t="str">
        <x:v>Buon salto complessivo (+2), ma la progressione resta a gradini per il floor.</x:v>
      </x:c>
      <x:c r="V6" s="100" t="str">
        <x:v>Effetto generico.</x:v>
      </x:c>
      <x:c r="W6" s="96" t="str">
        <x:v>src/content/upgrades.ts</x:v>
      </x:c>
    </x:row>
    <x:row r="7" ht="52" customHeight="1">
      <x:c r="A7" s="96" t="str">
        <x:v>Velocità</x:v>
      </x:c>
      <x:c r="B7" s="96" t="n">
        <x:v>3</x:v>
      </x:c>
      <x:c r="C7" s="96" t="str">
        <x:v>automatic-signature</x:v>
      </x:c>
      <x:c r="D7" s="96" t="str">
        <x:v>Firma automatica</x:v>
      </x:c>
      <x:c r="E7" s="96" t="n">
        <x:v>25</x:v>
      </x:c>
      <x:c r="F7" s="96" t="n">
        <x:v>5</x:v>
      </x:c>
      <x:c r="G7" s="96" t="str">
        <x:v>automationMultiplier</x:v>
      </x:c>
      <x:c r="H7" s="97" t="n">
        <x:v>0.1</x:v>
      </x:c>
      <x:c r="I7" s="100" t="str">
        <x:v>writingPower +0,2/liv</x:v>
      </x:c>
      <x:c r="J7" s="98" t="n">
        <x:v>1.3</x:v>
      </x:c>
      <x:c r="K7" s="99" t="n">
        <x:v>800</x:v>
      </x:c>
      <x:c r="L7" s="99" t="n">
        <x:f>IF(1&lt;=$F7,ROUND($K7*($J7^(1-1))*(1+'Dashboard'!$E$6*'Dashboard'!$E$7),0),"")</x:f>
        <x:v>800</x:v>
      </x:c>
      <x:c r="M7" s="99" t="n">
        <x:f>IF(2&lt;=$F7,ROUND($K7*($J7^(2-1))*(1+'Dashboard'!$E$6*'Dashboard'!$E$7),0),"")</x:f>
        <x:v>1040</x:v>
      </x:c>
      <x:c r="N7" s="99" t="n">
        <x:f>IF(3&lt;=$F7,ROUND($K7*($J7^(3-1))*(1+'Dashboard'!$E$6*'Dashboard'!$E$7),0),"")</x:f>
        <x:v>1352</x:v>
      </x:c>
      <x:c r="O7" s="99" t="n">
        <x:f>IF(4&lt;=$F7,ROUND($K7*($J7^(4-1))*(1+'Dashboard'!$E$6*'Dashboard'!$E$7),0),"")</x:f>
        <x:v>1758</x:v>
      </x:c>
      <x:c r="P7" s="99" t="n">
        <x:f>IF(5&lt;=$F7,ROUND($K7*($J7^(5-1))*(1+'Dashboard'!$E$6*'Dashboard'!$E$7),0),"")</x:f>
        <x:v>2285</x:v>
      </x:c>
      <x:c r="Q7" s="99" t="n">
        <x:f>SUM(L7:P7)</x:f>
        <x:v>7235</x:v>
      </x:c>
      <x:c r="R7" s="99" t="n">
        <x:f>SUMIF($A$5:A7,A7,$Q$5:Q7)</x:f>
        <x:v>11531</x:v>
      </x:c>
      <x:c r="S7" s="97" t="n">
        <x:f>H7*F7</x:f>
        <x:v>0.5</x:v>
      </x:c>
      <x:c r="T7" s="96" t="str">
        <x:v>A</x:v>
      </x:c>
      <x:c r="U7" s="100" t="str">
        <x:v>Doppio beneficio; l'automazione è trasversale a scrittura, Social e riparazioni.</x:v>
      </x:c>
      <x:c r="V7" s="100" t="str">
        <x:v>Effetto secondario definito nel catalogo.</x:v>
      </x:c>
      <x:c r="W7" s="96" t="str">
        <x:v>src/content/upgrades.ts</x:v>
      </x:c>
    </x:row>
    <x:row r="8" ht="52" customHeight="1">
      <x:c r="A8" s="96" t="str">
        <x:v>Velocità</x:v>
      </x:c>
      <x:c r="B8" s="96" t="n">
        <x:v>4</x:v>
      </x:c>
      <x:c r="C8" s="96" t="str">
        <x:v>smart-fields</x:v>
      </x:c>
      <x:c r="D8" s="96" t="str">
        <x:v>Campi intelligenti</x:v>
      </x:c>
      <x:c r="E8" s="96" t="n">
        <x:v>40</x:v>
      </x:c>
      <x:c r="F8" s="96" t="n">
        <x:v>5</x:v>
      </x:c>
      <x:c r="G8" s="96" t="str">
        <x:v>writingPower</x:v>
      </x:c>
      <x:c r="H8" s="97" t="n">
        <x:v>0.6</x:v>
      </x:c>
      <x:c r="I8" s="100" t="str"/>
      <x:c r="J8" s="98" t="n">
        <x:v>1.3</x:v>
      </x:c>
      <x:c r="K8" s="99" t="n">
        <x:v>1500</x:v>
      </x:c>
      <x:c r="L8" s="99" t="n">
        <x:f>IF(1&lt;=$F8,ROUND($K8*($J8^(1-1))*(1+'Dashboard'!$E$6*'Dashboard'!$E$7),0),"")</x:f>
        <x:v>1500</x:v>
      </x:c>
      <x:c r="M8" s="99" t="n">
        <x:f>IF(2&lt;=$F8,ROUND($K8*($J8^(2-1))*(1+'Dashboard'!$E$6*'Dashboard'!$E$7),0),"")</x:f>
        <x:v>1950</x:v>
      </x:c>
      <x:c r="N8" s="99" t="n">
        <x:f>IF(3&lt;=$F8,ROUND($K8*($J8^(3-1))*(1+'Dashboard'!$E$6*'Dashboard'!$E$7),0),"")</x:f>
        <x:v>2535</x:v>
      </x:c>
      <x:c r="O8" s="99" t="n">
        <x:f>IF(4&lt;=$F8,ROUND($K8*($J8^(4-1))*(1+'Dashboard'!$E$6*'Dashboard'!$E$7),0),"")</x:f>
        <x:v>3296</x:v>
      </x:c>
      <x:c r="P8" s="99" t="n">
        <x:f>IF(5&lt;=$F8,ROUND($K8*($J8^(5-1))*(1+'Dashboard'!$E$6*'Dashboard'!$E$7),0),"")</x:f>
        <x:v>4284</x:v>
      </x:c>
      <x:c r="Q8" s="99" t="n">
        <x:f>SUM(L8:P8)</x:f>
        <x:v>13565</x:v>
      </x:c>
      <x:c r="R8" s="99" t="n">
        <x:f>SUMIF($A$5:A8,A8,$Q$5:Q8)</x:f>
        <x:v>25096</x:v>
      </x:c>
      <x:c r="S8" s="97" t="n">
        <x:f>H8*F8</x:f>
        <x:v>3</x:v>
      </x:c>
      <x:c r="T8" s="96" t="str">
        <x:v>B</x:v>
      </x:c>
      <x:c r="U8" s="100" t="str">
        <x:v>+3 al massimo è solido; i singoli acquisti possono però non produrre un salto visibile.</x:v>
      </x:c>
      <x:c r="V8" s="100" t="str">
        <x:v>Effetto generico; floor in getWritingPower.</x:v>
      </x:c>
      <x:c r="W8" s="96" t="str">
        <x:v>src/content/upgrades.ts</x:v>
      </x:c>
    </x:row>
    <x:row r="9" ht="52" customHeight="1">
      <x:c r="A9" s="96" t="str">
        <x:v>Velocità</x:v>
      </x:c>
      <x:c r="B9" s="96" t="n">
        <x:v>5</x:v>
      </x:c>
      <x:c r="C9" s="96" t="str">
        <x:v>instant-review</x:v>
      </x:c>
      <x:c r="D9" s="96" t="str">
        <x:v>Revisione istantanea</x:v>
      </x:c>
      <x:c r="E9" s="96" t="n">
        <x:v>60</x:v>
      </x:c>
      <x:c r="F9" s="96" t="n">
        <x:v>5</x:v>
      </x:c>
      <x:c r="G9" s="96" t="str">
        <x:v>automationMultiplier</x:v>
      </x:c>
      <x:c r="H9" s="97" t="n">
        <x:v>0.1</x:v>
      </x:c>
      <x:c r="I9" s="100" t="str">
        <x:v>writingPower +0,6/liv</x:v>
      </x:c>
      <x:c r="J9" s="98" t="n">
        <x:v>1.3</x:v>
      </x:c>
      <x:c r="K9" s="99" t="n">
        <x:v>2750</x:v>
      </x:c>
      <x:c r="L9" s="99" t="n">
        <x:f>IF(1&lt;=$F9,ROUND($K9*($J9^(1-1))*(1+'Dashboard'!$E$6*'Dashboard'!$E$7),0),"")</x:f>
        <x:v>2750</x:v>
      </x:c>
      <x:c r="M9" s="99" t="n">
        <x:f>IF(2&lt;=$F9,ROUND($K9*($J9^(2-1))*(1+'Dashboard'!$E$6*'Dashboard'!$E$7),0),"")</x:f>
        <x:v>3575</x:v>
      </x:c>
      <x:c r="N9" s="99" t="n">
        <x:f>IF(3&lt;=$F9,ROUND($K9*($J9^(3-1))*(1+'Dashboard'!$E$6*'Dashboard'!$E$7),0),"")</x:f>
        <x:v>4648</x:v>
      </x:c>
      <x:c r="O9" s="99" t="n">
        <x:f>IF(4&lt;=$F9,ROUND($K9*($J9^(4-1))*(1+'Dashboard'!$E$6*'Dashboard'!$E$7),0),"")</x:f>
        <x:v>6042</x:v>
      </x:c>
      <x:c r="P9" s="99" t="n">
        <x:f>IF(5&lt;=$F9,ROUND($K9*($J9^(5-1))*(1+'Dashboard'!$E$6*'Dashboard'!$E$7),0),"")</x:f>
        <x:v>7854</x:v>
      </x:c>
      <x:c r="Q9" s="99" t="n">
        <x:f>SUM(L9:P9)</x:f>
        <x:v>24869</x:v>
      </x:c>
      <x:c r="R9" s="99" t="n">
        <x:f>SUMIF($A$5:A9,A9,$Q$5:Q9)</x:f>
        <x:v>49965</x:v>
      </x:c>
      <x:c r="S9" s="97" t="n">
        <x:f>H9*F9</x:f>
        <x:v>0.5</x:v>
      </x:c>
      <x:c r="T9" s="96" t="str">
        <x:v>A</x:v>
      </x:c>
      <x:c r="U9" s="100" t="str">
        <x:v>Doppio effetto e buona sinergia con collaboratori; costo alto ma coerente col tratto finale.</x:v>
      </x:c>
      <x:c r="V9" s="100" t="str">
        <x:v>Effetto secondario definito nel catalogo.</x:v>
      </x:c>
      <x:c r="W9" s="96" t="str">
        <x:v>src/content/upgrades.ts</x:v>
      </x:c>
    </x:row>
    <x:row r="10" ht="52" customHeight="1">
      <x:c r="A10" s="96" t="str">
        <x:v>Velocità</x:v>
      </x:c>
      <x:c r="B10" s="96" t="n">
        <x:v>6</x:v>
      </x:c>
      <x:c r="C10" s="96" t="str">
        <x:v>mail-merge</x:v>
      </x:c>
      <x:c r="D10" s="96" t="str">
        <x:v>Fusione documenti</x:v>
      </x:c>
      <x:c r="E10" s="96" t="n">
        <x:v>90</x:v>
      </x:c>
      <x:c r="F10" s="96" t="n">
        <x:v>5</x:v>
      </x:c>
      <x:c r="G10" s="96" t="str">
        <x:v>automationMultiplier</x:v>
      </x:c>
      <x:c r="H10" s="97" t="n">
        <x:v>0.1</x:v>
      </x:c>
      <x:c r="I10" s="100" t="str">
        <x:v>writingPower +0,8/liv</x:v>
      </x:c>
      <x:c r="J10" s="98" t="n">
        <x:v>1.3</x:v>
      </x:c>
      <x:c r="K10" s="99" t="n">
        <x:v>5000</x:v>
      </x:c>
      <x:c r="L10" s="99" t="n">
        <x:f>IF(1&lt;=$F10,ROUND($K10*($J10^(1-1))*(1+'Dashboard'!$E$6*'Dashboard'!$E$7),0),"")</x:f>
        <x:v>5000</x:v>
      </x:c>
      <x:c r="M10" s="99" t="n">
        <x:f>IF(2&lt;=$F10,ROUND($K10*($J10^(2-1))*(1+'Dashboard'!$E$6*'Dashboard'!$E$7),0),"")</x:f>
        <x:v>6500</x:v>
      </x:c>
      <x:c r="N10" s="99" t="n">
        <x:f>IF(3&lt;=$F10,ROUND($K10*($J10^(3-1))*(1+'Dashboard'!$E$6*'Dashboard'!$E$7),0),"")</x:f>
        <x:v>8450</x:v>
      </x:c>
      <x:c r="O10" s="99" t="n">
        <x:f>IF(4&lt;=$F10,ROUND($K10*($J10^(4-1))*(1+'Dashboard'!$E$6*'Dashboard'!$E$7),0),"")</x:f>
        <x:v>10985</x:v>
      </x:c>
      <x:c r="P10" s="99" t="n">
        <x:f>IF(5&lt;=$F10,ROUND($K10*($J10^(5-1))*(1+'Dashboard'!$E$6*'Dashboard'!$E$7),0),"")</x:f>
        <x:v>14281</x:v>
      </x:c>
      <x:c r="Q10" s="99" t="n">
        <x:f>SUM(L10:P10)</x:f>
        <x:v>45216</x:v>
      </x:c>
      <x:c r="R10" s="99" t="n">
        <x:f>SUMIF($A$5:A10,A10,$Q$5:Q10)</x:f>
        <x:v>95181</x:v>
      </x:c>
      <x:c r="S10" s="97" t="n">
        <x:f>H10*F10</x:f>
        <x:v>0.5</x:v>
      </x:c>
      <x:c r="T10" s="96" t="str">
        <x:v>B</x:v>
      </x:c>
      <x:c r="U10" s="100" t="str">
        <x:v>Molto forte a pieno livello, ma richiede €95k cumulativi nel ramo.</x:v>
      </x:c>
      <x:c r="V10" s="100" t="str">
        <x:v>Effetto secondario definito nel catalogo.</x:v>
      </x:c>
      <x:c r="W10" s="96" t="str">
        <x:v>src/content/upgrades.ts</x:v>
      </x:c>
    </x:row>
    <x:row r="11" ht="52" customHeight="1">
      <x:c r="A11" s="96" t="str">
        <x:v>Carisma</x:v>
      </x:c>
      <x:c r="B11" s="96" t="n">
        <x:v>1</x:v>
      </x:c>
      <x:c r="C11" s="96" t="str">
        <x:v>prepared-presentation</x:v>
      </x:c>
      <x:c r="D11" s="96" t="str">
        <x:v>Presentazione preparata</x:v>
      </x:c>
      <x:c r="E11" s="96" t="n">
        <x:v>0</x:v>
      </x:c>
      <x:c r="F11" s="96" t="n">
        <x:v>5</x:v>
      </x:c>
      <x:c r="G11" s="96" t="str">
        <x:v>eventContactsMultiplier</x:v>
      </x:c>
      <x:c r="H11" s="97" t="n">
        <x:v>0.1</x:v>
      </x:c>
      <x:c r="I11" s="100" t="str"/>
      <x:c r="J11" s="98" t="n">
        <x:v>1.3</x:v>
      </x:c>
      <x:c r="K11" s="99" t="n">
        <x:v>50</x:v>
      </x:c>
      <x:c r="L11" s="99" t="n">
        <x:f>IF(1&lt;=$F11,ROUND($K11*($J11^(1-1))*(1+'Dashboard'!$E$6*'Dashboard'!$E$7),0),"")</x:f>
        <x:v>50</x:v>
      </x:c>
      <x:c r="M11" s="99" t="n">
        <x:f>IF(2&lt;=$F11,ROUND($K11*($J11^(2-1))*(1+'Dashboard'!$E$6*'Dashboard'!$E$7),0),"")</x:f>
        <x:v>65</x:v>
      </x:c>
      <x:c r="N11" s="99" t="n">
        <x:f>IF(3&lt;=$F11,ROUND($K11*($J11^(3-1))*(1+'Dashboard'!$E$6*'Dashboard'!$E$7),0),"")</x:f>
        <x:v>85</x:v>
      </x:c>
      <x:c r="O11" s="99" t="n">
        <x:f>IF(4&lt;=$F11,ROUND($K11*($J11^(4-1))*(1+'Dashboard'!$E$6*'Dashboard'!$E$7),0),"")</x:f>
        <x:v>110</x:v>
      </x:c>
      <x:c r="P11" s="99" t="n">
        <x:f>IF(5&lt;=$F11,ROUND($K11*($J11^(5-1))*(1+'Dashboard'!$E$6*'Dashboard'!$E$7),0),"")</x:f>
        <x:v>143</x:v>
      </x:c>
      <x:c r="Q11" s="99" t="n">
        <x:f>SUM(L11:P11)</x:f>
        <x:v>453</x:v>
      </x:c>
      <x:c r="R11" s="99" t="n">
        <x:f>SUMIF($A$5:A11,A11,$Q$5:Q11)</x:f>
        <x:v>453</x:v>
      </x:c>
      <x:c r="S11" s="97" t="n">
        <x:f>H11*F11</x:f>
        <x:v>0.5</x:v>
      </x:c>
      <x:c r="T11" s="96" t="str">
        <x:v>A</x:v>
      </x:c>
      <x:c r="U11" s="100" t="str">
        <x:v>Prezzo molto basso e resa superiore alla label: il bonus entra in due passaggi del funnel eventi.</x:v>
      </x:c>
      <x:c r="V11" s="100" t="str">
        <x:v>Usato in dimostrazioni e probabilità di contatto.</x:v>
      </x:c>
      <x:c r="W11" s="96" t="str">
        <x:v>src/content/upgrades.ts</x:v>
      </x:c>
    </x:row>
    <x:row r="12" ht="52" customHeight="1">
      <x:c r="A12" s="96" t="str">
        <x:v>Carisma</x:v>
      </x:c>
      <x:c r="B12" s="96" t="n">
        <x:v>2</x:v>
      </x:c>
      <x:c r="C12" s="96" t="str">
        <x:v>qr-cards</x:v>
      </x:c>
      <x:c r="D12" s="96" t="str">
        <x:v>Biglietti con QR code</x:v>
      </x:c>
      <x:c r="E12" s="96" t="n">
        <x:v>5</x:v>
      </x:c>
      <x:c r="F12" s="96" t="n">
        <x:v>5</x:v>
      </x:c>
      <x:c r="G12" s="96" t="str">
        <x:v>eventContactsMultiplier</x:v>
      </x:c>
      <x:c r="H12" s="97" t="n">
        <x:v>0.15</x:v>
      </x:c>
      <x:c r="I12" s="100" t="str"/>
      <x:c r="J12" s="98" t="n">
        <x:v>1.3</x:v>
      </x:c>
      <x:c r="K12" s="99" t="n">
        <x:v>150</x:v>
      </x:c>
      <x:c r="L12" s="99" t="n">
        <x:f>IF(1&lt;=$F12,ROUND($K12*($J12^(1-1))*(1+'Dashboard'!$E$6*'Dashboard'!$E$7),0),"")</x:f>
        <x:v>150</x:v>
      </x:c>
      <x:c r="M12" s="99" t="n">
        <x:f>IF(2&lt;=$F12,ROUND($K12*($J12^(2-1))*(1+'Dashboard'!$E$6*'Dashboard'!$E$7),0),"")</x:f>
        <x:v>195</x:v>
      </x:c>
      <x:c r="N12" s="99" t="n">
        <x:f>IF(3&lt;=$F12,ROUND($K12*($J12^(3-1))*(1+'Dashboard'!$E$6*'Dashboard'!$E$7),0),"")</x:f>
        <x:v>254</x:v>
      </x:c>
      <x:c r="O12" s="99" t="n">
        <x:f>IF(4&lt;=$F12,ROUND($K12*($J12^(4-1))*(1+'Dashboard'!$E$6*'Dashboard'!$E$7),0),"")</x:f>
        <x:v>330</x:v>
      </x:c>
      <x:c r="P12" s="99" t="n">
        <x:f>IF(5&lt;=$F12,ROUND($K12*($J12^(5-1))*(1+'Dashboard'!$E$6*'Dashboard'!$E$7),0),"")</x:f>
        <x:v>428</x:v>
      </x:c>
      <x:c r="Q12" s="99" t="n">
        <x:f>SUM(L12:P12)</x:f>
        <x:v>1357</x:v>
      </x:c>
      <x:c r="R12" s="99" t="n">
        <x:f>SUMIF($A$5:A12,A12,$Q$5:Q12)</x:f>
        <x:v>1810</x:v>
      </x:c>
      <x:c r="S12" s="97" t="n">
        <x:f>H12*F12</x:f>
        <x:v>0.75</x:v>
      </x:c>
      <x:c r="T12" s="96" t="str">
        <x:v>A</x:v>
      </x:c>
      <x:c r="U12" s="100" t="str">
        <x:v>Eccellente efficienza iniziale; attenzione al cap della probabilità di contatto.</x:v>
      </x:c>
      <x:c r="V12" s="100" t="str">
        <x:v>Usato in dimostrazioni e probabilità di contatto.</x:v>
      </x:c>
      <x:c r="W12" s="96" t="str">
        <x:v>src/content/upgrades.ts</x:v>
      </x:c>
    </x:row>
    <x:row r="13" ht="52" customHeight="1">
      <x:c r="A13" s="96" t="str">
        <x:v>Carisma</x:v>
      </x:c>
      <x:c r="B13" s="96" t="n">
        <x:v>3</x:v>
      </x:c>
      <x:c r="C13" s="96" t="str">
        <x:v>coordinated-demo</x:v>
      </x:c>
      <x:c r="D13" s="96" t="str">
        <x:v>Dimostrazione coordinata</x:v>
      </x:c>
      <x:c r="E13" s="96" t="n">
        <x:v>15</x:v>
      </x:c>
      <x:c r="F13" s="96" t="n">
        <x:v>5</x:v>
      </x:c>
      <x:c r="G13" s="96" t="str">
        <x:v>eventAttendanceMultiplier</x:v>
      </x:c>
      <x:c r="H13" s="97" t="n">
        <x:v>0.2</x:v>
      </x:c>
      <x:c r="I13" s="100" t="str"/>
      <x:c r="J13" s="98" t="n">
        <x:v>1.3</x:v>
      </x:c>
      <x:c r="K13" s="99" t="n">
        <x:v>400</x:v>
      </x:c>
      <x:c r="L13" s="99" t="n">
        <x:f>IF(1&lt;=$F13,ROUND($K13*($J13^(1-1))*(1+'Dashboard'!$E$6*'Dashboard'!$E$7),0),"")</x:f>
        <x:v>400</x:v>
      </x:c>
      <x:c r="M13" s="99" t="n">
        <x:f>IF(2&lt;=$F13,ROUND($K13*($J13^(2-1))*(1+'Dashboard'!$E$6*'Dashboard'!$E$7),0),"")</x:f>
        <x:v>520</x:v>
      </x:c>
      <x:c r="N13" s="99" t="n">
        <x:f>IF(3&lt;=$F13,ROUND($K13*($J13^(3-1))*(1+'Dashboard'!$E$6*'Dashboard'!$E$7),0),"")</x:f>
        <x:v>676</x:v>
      </x:c>
      <x:c r="O13" s="99" t="n">
        <x:f>IF(4&lt;=$F13,ROUND($K13*($J13^(4-1))*(1+'Dashboard'!$E$6*'Dashboard'!$E$7),0),"")</x:f>
        <x:v>879</x:v>
      </x:c>
      <x:c r="P13" s="99" t="n">
        <x:f>IF(5&lt;=$F13,ROUND($K13*($J13^(5-1))*(1+'Dashboard'!$E$6*'Dashboard'!$E$7),0),"")</x:f>
        <x:v>1142</x:v>
      </x:c>
      <x:c r="Q13" s="99" t="n">
        <x:f>SUM(L13:P13)</x:f>
        <x:v>3617</x:v>
      </x:c>
      <x:c r="R13" s="99" t="n">
        <x:f>SUMIF($A$5:A13,A13,$Q$5:Q13)</x:f>
        <x:v>5427</x:v>
      </x:c>
      <x:c r="S13" s="97" t="n">
        <x:f>H13*F13</x:f>
        <x:v>1</x:v>
      </x:c>
      <x:c r="T13" s="96" t="str">
        <x:v>B</x:v>
      </x:c>
      <x:c r="U13" s="100" t="str">
        <x:v>Incremento lineare e leggibile delle presenze; buona base per il ramo eventi.</x:v>
      </x:c>
      <x:c r="V13" s="100" t="str">
        <x:v>Somma additiva nel moltiplicatore presenze.</x:v>
      </x:c>
      <x:c r="W13" s="96" t="str">
        <x:v>src/content/upgrades.ts</x:v>
      </x:c>
    </x:row>
    <x:row r="14" ht="52" customHeight="1">
      <x:c r="A14" s="96" t="str">
        <x:v>Carisma</x:v>
      </x:c>
      <x:c r="B14" s="96" t="n">
        <x:v>4</x:v>
      </x:c>
      <x:c r="C14" s="96" t="str">
        <x:v>recognizable-stand</x:v>
      </x:c>
      <x:c r="D14" s="96" t="str">
        <x:v>Stand riconoscibile</x:v>
      </x:c>
      <x:c r="E14" s="96" t="n">
        <x:v>25</x:v>
      </x:c>
      <x:c r="F14" s="96" t="n">
        <x:v>5</x:v>
      </x:c>
      <x:c r="G14" s="96" t="str">
        <x:v>eventAttendanceMultiplier</x:v>
      </x:c>
      <x:c r="H14" s="97" t="n">
        <x:v>0.25</x:v>
      </x:c>
      <x:c r="I14" s="100" t="str"/>
      <x:c r="J14" s="98" t="n">
        <x:v>1.3</x:v>
      </x:c>
      <x:c r="K14" s="99" t="n">
        <x:v>800</x:v>
      </x:c>
      <x:c r="L14" s="99" t="n">
        <x:f>IF(1&lt;=$F14,ROUND($K14*($J14^(1-1))*(1+'Dashboard'!$E$6*'Dashboard'!$E$7),0),"")</x:f>
        <x:v>800</x:v>
      </x:c>
      <x:c r="M14" s="99" t="n">
        <x:f>IF(2&lt;=$F14,ROUND($K14*($J14^(2-1))*(1+'Dashboard'!$E$6*'Dashboard'!$E$7),0),"")</x:f>
        <x:v>1040</x:v>
      </x:c>
      <x:c r="N14" s="99" t="n">
        <x:f>IF(3&lt;=$F14,ROUND($K14*($J14^(3-1))*(1+'Dashboard'!$E$6*'Dashboard'!$E$7),0),"")</x:f>
        <x:v>1352</x:v>
      </x:c>
      <x:c r="O14" s="99" t="n">
        <x:f>IF(4&lt;=$F14,ROUND($K14*($J14^(4-1))*(1+'Dashboard'!$E$6*'Dashboard'!$E$7),0),"")</x:f>
        <x:v>1758</x:v>
      </x:c>
      <x:c r="P14" s="99" t="n">
        <x:f>IF(5&lt;=$F14,ROUND($K14*($J14^(5-1))*(1+'Dashboard'!$E$6*'Dashboard'!$E$7),0),"")</x:f>
        <x:v>2285</x:v>
      </x:c>
      <x:c r="Q14" s="99" t="n">
        <x:f>SUM(L14:P14)</x:f>
        <x:v>7235</x:v>
      </x:c>
      <x:c r="R14" s="99" t="n">
        <x:f>SUMIF($A$5:A14,A14,$Q$5:Q14)</x:f>
        <x:v>12662</x:v>
      </x:c>
      <x:c r="S14" s="97" t="n">
        <x:f>H14*F14</x:f>
        <x:v>1.25</x:v>
      </x:c>
      <x:c r="T14" s="96" t="str">
        <x:v>B</x:v>
      </x:c>
      <x:c r="U14" s="100" t="str">
        <x:v>Più efficiente del nodo precedente per potenza, ma il costo cresce come previsto dalla profondità.</x:v>
      </x:c>
      <x:c r="V14" s="100" t="str">
        <x:v>Somma additiva nel moltiplicatore presenze.</x:v>
      </x:c>
      <x:c r="W14" s="96" t="str">
        <x:v>src/content/upgrades.ts</x:v>
      </x:c>
    </x:row>
    <x:row r="15" ht="52" customHeight="1">
      <x:c r="A15" s="96" t="str">
        <x:v>Carisma</x:v>
      </x:c>
      <x:c r="B15" s="96" t="n">
        <x:v>5</x:v>
      </x:c>
      <x:c r="C15" s="96" t="str">
        <x:v>order-welcome</x:v>
      </x:c>
      <x:c r="D15" s="96" t="str">
        <x:v>Accoglienza dell'Ordine</x:v>
      </x:c>
      <x:c r="E15" s="96" t="n">
        <x:v>40</x:v>
      </x:c>
      <x:c r="F15" s="96" t="n">
        <x:v>5</x:v>
      </x:c>
      <x:c r="G15" s="96" t="str">
        <x:v>eventContactsMultiplier</x:v>
      </x:c>
      <x:c r="H15" s="97" t="n">
        <x:v>0.15</x:v>
      </x:c>
      <x:c r="I15" s="100" t="str"/>
      <x:c r="J15" s="98" t="n">
        <x:v>1.3</x:v>
      </x:c>
      <x:c r="K15" s="99" t="n">
        <x:v>1500</x:v>
      </x:c>
      <x:c r="L15" s="99" t="n">
        <x:f>IF(1&lt;=$F15,ROUND($K15*($J15^(1-1))*(1+'Dashboard'!$E$6*'Dashboard'!$E$7),0),"")</x:f>
        <x:v>1500</x:v>
      </x:c>
      <x:c r="M15" s="99" t="n">
        <x:f>IF(2&lt;=$F15,ROUND($K15*($J15^(2-1))*(1+'Dashboard'!$E$6*'Dashboard'!$E$7),0),"")</x:f>
        <x:v>1950</x:v>
      </x:c>
      <x:c r="N15" s="99" t="n">
        <x:f>IF(3&lt;=$F15,ROUND($K15*($J15^(3-1))*(1+'Dashboard'!$E$6*'Dashboard'!$E$7),0),"")</x:f>
        <x:v>2535</x:v>
      </x:c>
      <x:c r="O15" s="99" t="n">
        <x:f>IF(4&lt;=$F15,ROUND($K15*($J15^(4-1))*(1+'Dashboard'!$E$6*'Dashboard'!$E$7),0),"")</x:f>
        <x:v>3296</x:v>
      </x:c>
      <x:c r="P15" s="99" t="n">
        <x:f>IF(5&lt;=$F15,ROUND($K15*($J15^(5-1))*(1+'Dashboard'!$E$6*'Dashboard'!$E$7),0),"")</x:f>
        <x:v>4284</x:v>
      </x:c>
      <x:c r="Q15" s="99" t="n">
        <x:f>SUM(L15:P15)</x:f>
        <x:v>13565</x:v>
      </x:c>
      <x:c r="R15" s="99" t="n">
        <x:f>SUMIF($A$5:A15,A15,$Q$5:Q15)</x:f>
        <x:v>26227</x:v>
      </x:c>
      <x:c r="S15" s="97" t="n">
        <x:f>H15*F15</x:f>
        <x:v>0.75</x:v>
      </x:c>
      <x:c r="T15" s="96" t="str">
        <x:v>C</x:v>
      </x:c>
      <x:c r="U15" s="100" t="str">
        <x:v>Stesso bonus dei QR a circa 10× il costo totale; è soprattutto un gate di progressione.</x:v>
      </x:c>
      <x:c r="V15" s="100" t="str">
        <x:v>Può saturare la contactRate.</x:v>
      </x:c>
      <x:c r="W15" s="96" t="str">
        <x:v>src/content/upgrades.ts</x:v>
      </x:c>
    </x:row>
    <x:row r="16" ht="52" customHeight="1">
      <x:c r="A16" s="96" t="str">
        <x:v>Carisma</x:v>
      </x:c>
      <x:c r="B16" s="96" t="n">
        <x:v>6</x:v>
      </x:c>
      <x:c r="C16" s="96" t="str">
        <x:v>difficult-questions</x:v>
      </x:c>
      <x:c r="D16" s="96" t="str">
        <x:v>Risposte alle domande difficili</x:v>
      </x:c>
      <x:c r="E16" s="96" t="n">
        <x:v>60</x:v>
      </x:c>
      <x:c r="F16" s="96" t="n">
        <x:v>5</x:v>
      </x:c>
      <x:c r="G16" s="96" t="str">
        <x:v>eventContactsMultiplier</x:v>
      </x:c>
      <x:c r="H16" s="97" t="n">
        <x:v>0.2</x:v>
      </x:c>
      <x:c r="I16" s="100" t="str"/>
      <x:c r="J16" s="98" t="n">
        <x:v>1.3</x:v>
      </x:c>
      <x:c r="K16" s="99" t="n">
        <x:v>2750</x:v>
      </x:c>
      <x:c r="L16" s="99" t="n">
        <x:f>IF(1&lt;=$F16,ROUND($K16*($J16^(1-1))*(1+'Dashboard'!$E$6*'Dashboard'!$E$7),0),"")</x:f>
        <x:v>2750</x:v>
      </x:c>
      <x:c r="M16" s="99" t="n">
        <x:f>IF(2&lt;=$F16,ROUND($K16*($J16^(2-1))*(1+'Dashboard'!$E$6*'Dashboard'!$E$7),0),"")</x:f>
        <x:v>3575</x:v>
      </x:c>
      <x:c r="N16" s="99" t="n">
        <x:f>IF(3&lt;=$F16,ROUND($K16*($J16^(3-1))*(1+'Dashboard'!$E$6*'Dashboard'!$E$7),0),"")</x:f>
        <x:v>4648</x:v>
      </x:c>
      <x:c r="O16" s="99" t="n">
        <x:f>IF(4&lt;=$F16,ROUND($K16*($J16^(4-1))*(1+'Dashboard'!$E$6*'Dashboard'!$E$7),0),"")</x:f>
        <x:v>6042</x:v>
      </x:c>
      <x:c r="P16" s="99" t="n">
        <x:f>IF(5&lt;=$F16,ROUND($K16*($J16^(5-1))*(1+'Dashboard'!$E$6*'Dashboard'!$E$7),0),"")</x:f>
        <x:v>7854</x:v>
      </x:c>
      <x:c r="Q16" s="99" t="n">
        <x:f>SUM(L16:P16)</x:f>
        <x:v>24869</x:v>
      </x:c>
      <x:c r="R16" s="99" t="n">
        <x:f>SUMIF($A$5:A16,A16,$Q$5:Q16)</x:f>
        <x:v>51096</x:v>
      </x:c>
      <x:c r="S16" s="97" t="n">
        <x:f>H16*F16</x:f>
        <x:v>1</x:v>
      </x:c>
      <x:c r="T16" s="96" t="str">
        <x:v>B</x:v>
      </x:c>
      <x:c r="U16" s="100" t="str">
        <x:v>Forte sui grandi eventi, meno utile quando la probabilità di contatto è già al cap.</x:v>
      </x:c>
      <x:c r="V16" s="100" t="str">
        <x:v>Può saturare la contactRate.</x:v>
      </x:c>
      <x:c r="W16" s="96" t="str">
        <x:v>src/content/upgrades.ts</x:v>
      </x:c>
    </x:row>
    <x:row r="17" ht="52" customHeight="1">
      <x:c r="A17" s="96" t="str">
        <x:v>Carisma</x:v>
      </x:c>
      <x:c r="B17" s="96" t="n">
        <x:v>7</x:v>
      </x:c>
      <x:c r="C17" s="96" t="str">
        <x:v>not-that-thing</x:v>
      </x:c>
      <x:c r="D17" s="96" t="str">
        <x:v>No, non è esattamente quella cosa</x:v>
      </x:c>
      <x:c r="E17" s="96" t="n">
        <x:v>90</x:v>
      </x:c>
      <x:c r="F17" s="96" t="n">
        <x:v>5</x:v>
      </x:c>
      <x:c r="G17" s="96" t="str">
        <x:v>eventContactsMultiplier</x:v>
      </x:c>
      <x:c r="H17" s="97" t="n">
        <x:v>0.3</x:v>
      </x:c>
      <x:c r="I17" s="100" t="str"/>
      <x:c r="J17" s="98" t="n">
        <x:v>1.3</x:v>
      </x:c>
      <x:c r="K17" s="99" t="n">
        <x:v>5000</x:v>
      </x:c>
      <x:c r="L17" s="99" t="n">
        <x:f>IF(1&lt;=$F17,ROUND($K17*($J17^(1-1))*(1+'Dashboard'!$E$6*'Dashboard'!$E$7),0),"")</x:f>
        <x:v>5000</x:v>
      </x:c>
      <x:c r="M17" s="99" t="n">
        <x:f>IF(2&lt;=$F17,ROUND($K17*($J17^(2-1))*(1+'Dashboard'!$E$6*'Dashboard'!$E$7),0),"")</x:f>
        <x:v>6500</x:v>
      </x:c>
      <x:c r="N17" s="99" t="n">
        <x:f>IF(3&lt;=$F17,ROUND($K17*($J17^(3-1))*(1+'Dashboard'!$E$6*'Dashboard'!$E$7),0),"")</x:f>
        <x:v>8450</x:v>
      </x:c>
      <x:c r="O17" s="99" t="n">
        <x:f>IF(4&lt;=$F17,ROUND($K17*($J17^(4-1))*(1+'Dashboard'!$E$6*'Dashboard'!$E$7),0),"")</x:f>
        <x:v>10985</x:v>
      </x:c>
      <x:c r="P17" s="99" t="n">
        <x:f>IF(5&lt;=$F17,ROUND($K17*($J17^(5-1))*(1+'Dashboard'!$E$6*'Dashboard'!$E$7),0),"")</x:f>
        <x:v>14281</x:v>
      </x:c>
      <x:c r="Q17" s="99" t="n">
        <x:f>SUM(L17:P17)</x:f>
        <x:v>45216</x:v>
      </x:c>
      <x:c r="R17" s="99" t="n">
        <x:f>SUMIF($A$5:A17,A17,$Q$5:Q17)</x:f>
        <x:v>96312</x:v>
      </x:c>
      <x:c r="S17" s="97" t="n">
        <x:f>H17*F17</x:f>
        <x:v>1.5</x:v>
      </x:c>
      <x:c r="T17" s="96" t="str">
        <x:v>B</x:v>
      </x:c>
      <x:c r="U17" s="100" t="str">
        <x:v>Finale potente (+150%); il ritorno reale dipende da quanto presto si raggiunge il cap contatti.</x:v>
      </x:c>
      <x:c r="V17" s="100" t="str">
        <x:v>Può saturare la contactRate.</x:v>
      </x:c>
      <x:c r="W17" s="96" t="str">
        <x:v>src/content/upgrades.ts</x:v>
      </x:c>
    </x:row>
    <x:row r="18" ht="52" customHeight="1">
      <x:c r="A18" s="96" t="str">
        <x:v>Scrittura</x:v>
      </x:c>
      <x:c r="B18" s="96" t="n">
        <x:v>1</x:v>
      </x:c>
      <x:c r="C18" s="96" t="str">
        <x:v>spell-check</x:v>
      </x:c>
      <x:c r="D18" s="96" t="str">
        <x:v>Controllo ortografico</x:v>
      </x:c>
      <x:c r="E18" s="96" t="n">
        <x:v>0</x:v>
      </x:c>
      <x:c r="F18" s="96" t="n">
        <x:v>5</x:v>
      </x:c>
      <x:c r="G18" s="96" t="str">
        <x:v>bookingMultiplier</x:v>
      </x:c>
      <x:c r="H18" s="97" t="n">
        <x:v>0.08</x:v>
      </x:c>
      <x:c r="I18" s="100" t="str">
        <x:v>Sblocca livello presentazione 1</x:v>
      </x:c>
      <x:c r="J18" s="98" t="n">
        <x:v>1.3</x:v>
      </x:c>
      <x:c r="K18" s="99" t="n">
        <x:v>75</x:v>
      </x:c>
      <x:c r="L18" s="99" t="n">
        <x:f>IF(1&lt;=$F18,ROUND($K18*($J18^(1-1))*(1+'Dashboard'!$E$6*'Dashboard'!$E$7),0),"")</x:f>
        <x:v>75</x:v>
      </x:c>
      <x:c r="M18" s="99" t="n">
        <x:f>IF(2&lt;=$F18,ROUND($K18*($J18^(2-1))*(1+'Dashboard'!$E$6*'Dashboard'!$E$7),0),"")</x:f>
        <x:v>98</x:v>
      </x:c>
      <x:c r="N18" s="99" t="n">
        <x:f>IF(3&lt;=$F18,ROUND($K18*($J18^(3-1))*(1+'Dashboard'!$E$6*'Dashboard'!$E$7),0),"")</x:f>
        <x:v>127</x:v>
      </x:c>
      <x:c r="O18" s="99" t="n">
        <x:f>IF(4&lt;=$F18,ROUND($K18*($J18^(4-1))*(1+'Dashboard'!$E$6*'Dashboard'!$E$7),0),"")</x:f>
        <x:v>165</x:v>
      </x:c>
      <x:c r="P18" s="99" t="n">
        <x:f>IF(5&lt;=$F18,ROUND($K18*($J18^(5-1))*(1+'Dashboard'!$E$6*'Dashboard'!$E$7),0),"")</x:f>
        <x:v>214</x:v>
      </x:c>
      <x:c r="Q18" s="99" t="n">
        <x:f>SUM(L18:P18)</x:f>
        <x:v>679</x:v>
      </x:c>
      <x:c r="R18" s="99" t="n">
        <x:f>SUMIF($A$5:A18,A18,$Q$5:Q18)</x:f>
        <x:v>679</x:v>
      </x:c>
      <x:c r="S18" s="97" t="n">
        <x:f>H18*F18</x:f>
        <x:v>0.4</x:v>
      </x:c>
      <x:c r="T18" s="96" t="str">
        <x:v>A</x:v>
      </x:c>
      <x:c r="U18" s="100" t="str">
        <x:v>Economico, migliora conversione e catalogo email; nullo sulle prenotazioni dei leggendari già al 100%.</x:v>
      </x:c>
      <x:c r="V18" s="100" t="str">
        <x:v>Ogni livello miscela il 20% del nuovo catalogo.</x:v>
      </x:c>
      <x:c r="W18" s="96" t="str">
        <x:v>src/content/upgrades.ts</x:v>
      </x:c>
    </x:row>
    <x:row r="19" ht="52" customHeight="1">
      <x:c r="A19" s="96" t="str">
        <x:v>Scrittura</x:v>
      </x:c>
      <x:c r="B19" s="96" t="n">
        <x:v>2</x:v>
      </x:c>
      <x:c r="C19" s="96" t="str">
        <x:v>professional-email</x:v>
      </x:c>
      <x:c r="D19" s="96" t="str">
        <x:v>Email professionale</x:v>
      </x:c>
      <x:c r="E19" s="96" t="n">
        <x:v>5</x:v>
      </x:c>
      <x:c r="F19" s="96" t="n">
        <x:v>5</x:v>
      </x:c>
      <x:c r="G19" s="96" t="str">
        <x:v>bookingMultiplier</x:v>
      </x:c>
      <x:c r="H19" s="97" t="n">
        <x:v>0.12</x:v>
      </x:c>
      <x:c r="I19" s="100" t="str">
        <x:v>Sblocca livello presentazione 2</x:v>
      </x:c>
      <x:c r="J19" s="98" t="n">
        <x:v>1.3</x:v>
      </x:c>
      <x:c r="K19" s="99" t="n">
        <x:v>175</x:v>
      </x:c>
      <x:c r="L19" s="99" t="n">
        <x:f>IF(1&lt;=$F19,ROUND($K19*($J19^(1-1))*(1+'Dashboard'!$E$6*'Dashboard'!$E$7),0),"")</x:f>
        <x:v>175</x:v>
      </x:c>
      <x:c r="M19" s="99" t="n">
        <x:f>IF(2&lt;=$F19,ROUND($K19*($J19^(2-1))*(1+'Dashboard'!$E$6*'Dashboard'!$E$7),0),"")</x:f>
        <x:v>228</x:v>
      </x:c>
      <x:c r="N19" s="99" t="n">
        <x:f>IF(3&lt;=$F19,ROUND($K19*($J19^(3-1))*(1+'Dashboard'!$E$6*'Dashboard'!$E$7),0),"")</x:f>
        <x:v>296</x:v>
      </x:c>
      <x:c r="O19" s="99" t="n">
        <x:f>IF(4&lt;=$F19,ROUND($K19*($J19^(4-1))*(1+'Dashboard'!$E$6*'Dashboard'!$E$7),0),"")</x:f>
        <x:v>384</x:v>
      </x:c>
      <x:c r="P19" s="99" t="n">
        <x:f>IF(5&lt;=$F19,ROUND($K19*($J19^(5-1))*(1+'Dashboard'!$E$6*'Dashboard'!$E$7),0),"")</x:f>
        <x:v>500</x:v>
      </x:c>
      <x:c r="Q19" s="99" t="n">
        <x:f>SUM(L19:P19)</x:f>
        <x:v>1583</x:v>
      </x:c>
      <x:c r="R19" s="99" t="n">
        <x:f>SUMIF($A$5:A19,A19,$Q$5:Q19)</x:f>
        <x:v>2262</x:v>
      </x:c>
      <x:c r="S19" s="97" t="n">
        <x:f>H19*F19</x:f>
        <x:v>0.6</x:v>
      </x:c>
      <x:c r="T19" s="96" t="str">
        <x:v>A</x:v>
      </x:c>
      <x:c r="U19" s="100" t="str">
        <x:v>Ottima resa e forte valore di presentazione oltre al numero.</x:v>
      </x:c>
      <x:c r="V19" s="100" t="str">
        <x:v>Ogni livello miscela il 20% del nuovo catalogo.</x:v>
      </x:c>
      <x:c r="W19" s="96" t="str">
        <x:v>src/content/upgrades.ts</x:v>
      </x:c>
    </x:row>
    <x:row r="20" ht="52" customHeight="1">
      <x:c r="A20" s="96" t="str">
        <x:v>Scrittura</x:v>
      </x:c>
      <x:c r="B20" s="96" t="n">
        <x:v>3</x:v>
      </x:c>
      <x:c r="C20" s="96" t="str">
        <x:v>personalized-invite</x:v>
      </x:c>
      <x:c r="D20" s="96" t="str">
        <x:v>Invito personalizzato</x:v>
      </x:c>
      <x:c r="E20" s="96" t="n">
        <x:v>15</x:v>
      </x:c>
      <x:c r="F20" s="96" t="n">
        <x:v>5</x:v>
      </x:c>
      <x:c r="G20" s="96" t="str">
        <x:v>bookingMultiplier</x:v>
      </x:c>
      <x:c r="H20" s="97" t="n">
        <x:v>0.15</x:v>
      </x:c>
      <x:c r="I20" s="100" t="str">
        <x:v>Sblocca livello presentazione 3</x:v>
      </x:c>
      <x:c r="J20" s="98" t="n">
        <x:v>1.3</x:v>
      </x:c>
      <x:c r="K20" s="99" t="n">
        <x:v>175</x:v>
      </x:c>
      <x:c r="L20" s="99" t="n">
        <x:f>IF(1&lt;=$F20,ROUND($K20*($J20^(1-1))*(1+'Dashboard'!$E$6*'Dashboard'!$E$7),0),"")</x:f>
        <x:v>175</x:v>
      </x:c>
      <x:c r="M20" s="99" t="n">
        <x:f>IF(2&lt;=$F20,ROUND($K20*($J20^(2-1))*(1+'Dashboard'!$E$6*'Dashboard'!$E$7),0),"")</x:f>
        <x:v>228</x:v>
      </x:c>
      <x:c r="N20" s="99" t="n">
        <x:f>IF(3&lt;=$F20,ROUND($K20*($J20^(3-1))*(1+'Dashboard'!$E$6*'Dashboard'!$E$7),0),"")</x:f>
        <x:v>296</x:v>
      </x:c>
      <x:c r="O20" s="99" t="n">
        <x:f>IF(4&lt;=$F20,ROUND($K20*($J20^(4-1))*(1+'Dashboard'!$E$6*'Dashboard'!$E$7),0),"")</x:f>
        <x:v>384</x:v>
      </x:c>
      <x:c r="P20" s="99" t="n">
        <x:f>IF(5&lt;=$F20,ROUND($K20*($J20^(5-1))*(1+'Dashboard'!$E$6*'Dashboard'!$E$7),0),"")</x:f>
        <x:v>500</x:v>
      </x:c>
      <x:c r="Q20" s="99" t="n">
        <x:f>SUM(L20:P20)</x:f>
        <x:v>1583</x:v>
      </x:c>
      <x:c r="R20" s="99" t="n">
        <x:f>SUMIF($A$5:A20,A20,$Q$5:Q20)</x:f>
        <x:v>3845</x:v>
      </x:c>
      <x:c r="S20" s="97" t="n">
        <x:f>H20*F20</x:f>
        <x:v>0.75</x:v>
      </x:c>
      <x:c r="T20" s="96" t="str">
        <x:v>A</x:v>
      </x:c>
      <x:c r="U20" s="100" t="str">
        <x:v>Stesso prezzo del precedente e bonus maggiore; la sequenza evita una scelta dominata diretta.</x:v>
      </x:c>
      <x:c r="V20" s="100" t="str">
        <x:v>Ogni livello miscela il 20% del nuovo catalogo.</x:v>
      </x:c>
      <x:c r="W20" s="96" t="str">
        <x:v>src/content/upgrades.ts</x:v>
      </x:c>
    </x:row>
    <x:row r="21" ht="52" customHeight="1">
      <x:c r="A21" s="96" t="str">
        <x:v>Scrittura</x:v>
      </x:c>
      <x:c r="B21" s="96" t="n">
        <x:v>4</x:v>
      </x:c>
      <x:c r="C21" s="96" t="str">
        <x:v>call-to-action</x:v>
      </x:c>
      <x:c r="D21" s="96" t="str">
        <x:v>Call to action</x:v>
      </x:c>
      <x:c r="E21" s="96" t="n">
        <x:v>25</x:v>
      </x:c>
      <x:c r="F21" s="96" t="n">
        <x:v>5</x:v>
      </x:c>
      <x:c r="G21" s="96" t="str">
        <x:v>bookingMultiplier</x:v>
      </x:c>
      <x:c r="H21" s="97" t="n">
        <x:v>0.15</x:v>
      </x:c>
      <x:c r="I21" s="100" t="str">
        <x:v>Sblocca livello presentazione 4</x:v>
      </x:c>
      <x:c r="J21" s="98" t="n">
        <x:v>1.3</x:v>
      </x:c>
      <x:c r="K21" s="99" t="n">
        <x:v>400</x:v>
      </x:c>
      <x:c r="L21" s="99" t="n">
        <x:f>IF(1&lt;=$F21,ROUND($K21*($J21^(1-1))*(1+'Dashboard'!$E$6*'Dashboard'!$E$7),0),"")</x:f>
        <x:v>400</x:v>
      </x:c>
      <x:c r="M21" s="99" t="n">
        <x:f>IF(2&lt;=$F21,ROUND($K21*($J21^(2-1))*(1+'Dashboard'!$E$6*'Dashboard'!$E$7),0),"")</x:f>
        <x:v>520</x:v>
      </x:c>
      <x:c r="N21" s="99" t="n">
        <x:f>IF(3&lt;=$F21,ROUND($K21*($J21^(3-1))*(1+'Dashboard'!$E$6*'Dashboard'!$E$7),0),"")</x:f>
        <x:v>676</x:v>
      </x:c>
      <x:c r="O21" s="99" t="n">
        <x:f>IF(4&lt;=$F21,ROUND($K21*($J21^(4-1))*(1+'Dashboard'!$E$6*'Dashboard'!$E$7),0),"")</x:f>
        <x:v>879</x:v>
      </x:c>
      <x:c r="P21" s="99" t="n">
        <x:f>IF(5&lt;=$F21,ROUND($K21*($J21^(5-1))*(1+'Dashboard'!$E$6*'Dashboard'!$E$7),0),"")</x:f>
        <x:v>1142</x:v>
      </x:c>
      <x:c r="Q21" s="99" t="n">
        <x:f>SUM(L21:P21)</x:f>
        <x:v>3617</x:v>
      </x:c>
      <x:c r="R21" s="99" t="n">
        <x:f>SUMIF($A$5:A21,A21,$Q$5:Q21)</x:f>
        <x:v>7462</x:v>
      </x:c>
      <x:c r="S21" s="97" t="n">
        <x:f>H21*F21</x:f>
        <x:v>0.75</x:v>
      </x:c>
      <x:c r="T21" s="96" t="str">
        <x:v>B</x:v>
      </x:c>
      <x:c r="U21" s="100" t="str">
        <x:v>Solido, ma sui contatti comuni la prenotazione può essere già vicina al 100%.</x:v>
      </x:c>
      <x:c r="V21" s="100" t="str">
        <x:v>Ogni livello miscela il 20% del nuovo catalogo.</x:v>
      </x:c>
      <x:c r="W21" s="96" t="str">
        <x:v>src/content/upgrades.ts</x:v>
      </x:c>
    </x:row>
    <x:row r="22" ht="52" customHeight="1">
      <x:c r="A22" s="96" t="str">
        <x:v>Scrittura</x:v>
      </x:c>
      <x:c r="B22" s="96" t="n">
        <x:v>5</x:v>
      </x:c>
      <x:c r="C22" s="96" t="str">
        <x:v>email-layout</x:v>
      </x:c>
      <x:c r="D22" s="96" t="str">
        <x:v>Impaginazione</x:v>
      </x:c>
      <x:c r="E22" s="96" t="n">
        <x:v>40</x:v>
      </x:c>
      <x:c r="F22" s="96" t="n">
        <x:v>5</x:v>
      </x:c>
      <x:c r="G22" s="96" t="str">
        <x:v>bookingMultiplier</x:v>
      </x:c>
      <x:c r="H22" s="97" t="n">
        <x:v>0.1</x:v>
      </x:c>
      <x:c r="I22" s="100" t="str">
        <x:v>Sblocca livello presentazione 5</x:v>
      </x:c>
      <x:c r="J22" s="98" t="n">
        <x:v>1.3</x:v>
      </x:c>
      <x:c r="K22" s="99" t="n">
        <x:v>850</x:v>
      </x:c>
      <x:c r="L22" s="99" t="n">
        <x:f>IF(1&lt;=$F22,ROUND($K22*($J22^(1-1))*(1+'Dashboard'!$E$6*'Dashboard'!$E$7),0),"")</x:f>
        <x:v>850</x:v>
      </x:c>
      <x:c r="M22" s="99" t="n">
        <x:f>IF(2&lt;=$F22,ROUND($K22*($J22^(2-1))*(1+'Dashboard'!$E$6*'Dashboard'!$E$7),0),"")</x:f>
        <x:v>1105</x:v>
      </x:c>
      <x:c r="N22" s="99" t="n">
        <x:f>IF(3&lt;=$F22,ROUND($K22*($J22^(3-1))*(1+'Dashboard'!$E$6*'Dashboard'!$E$7),0),"")</x:f>
        <x:v>1437</x:v>
      </x:c>
      <x:c r="O22" s="99" t="n">
        <x:f>IF(4&lt;=$F22,ROUND($K22*($J22^(4-1))*(1+'Dashboard'!$E$6*'Dashboard'!$E$7),0),"")</x:f>
        <x:v>1867</x:v>
      </x:c>
      <x:c r="P22" s="99" t="n">
        <x:f>IF(5&lt;=$F22,ROUND($K22*($J22^(5-1))*(1+'Dashboard'!$E$6*'Dashboard'!$E$7),0),"")</x:f>
        <x:v>2428</x:v>
      </x:c>
      <x:c r="Q22" s="99" t="n">
        <x:f>SUM(L22:P22)</x:f>
        <x:v>7687</x:v>
      </x:c>
      <x:c r="R22" s="99" t="n">
        <x:f>SUMIF($A$5:A22,A22,$Q$5:Q22)</x:f>
        <x:v>15149</x:v>
      </x:c>
      <x:c r="S22" s="97" t="n">
        <x:f>H22*F22</x:f>
        <x:v>0.5</x:v>
      </x:c>
      <x:c r="T22" s="96" t="str">
        <x:v>C</x:v>
      </x:c>
      <x:c r="U22" s="100" t="str">
        <x:v>Bonus più basso del nodo precedente a costo molto maggiore; il valore è soprattutto visivo/contenutistico.</x:v>
      </x:c>
      <x:c r="V22" s="100" t="str">
        <x:v>Ogni livello miscela il 20% del nuovo catalogo.</x:v>
      </x:c>
      <x:c r="W22" s="96" t="str">
        <x:v>src/content/upgrades.ts</x:v>
      </x:c>
    </x:row>
    <x:row r="23" ht="52" customHeight="1">
      <x:c r="A23" s="96" t="str">
        <x:v>Scrittura</x:v>
      </x:c>
      <x:c r="B23" s="96" t="n">
        <x:v>6</x:v>
      </x:c>
      <x:c r="C23" s="96" t="str">
        <x:v>winning-advertising</x:v>
      </x:c>
      <x:c r="D23" s="96" t="str">
        <x:v>Pubblicità vincente</x:v>
      </x:c>
      <x:c r="E23" s="96" t="n">
        <x:v>60</x:v>
      </x:c>
      <x:c r="F23" s="96" t="n">
        <x:v>5</x:v>
      </x:c>
      <x:c r="G23" s="96" t="str">
        <x:v>bookingMultiplier</x:v>
      </x:c>
      <x:c r="H23" s="97" t="n">
        <x:v>0.2</x:v>
      </x:c>
      <x:c r="I23" s="100" t="str">
        <x:v>Sblocca livello presentazione 6</x:v>
      </x:c>
      <x:c r="J23" s="98" t="n">
        <x:v>1.3</x:v>
      </x:c>
      <x:c r="K23" s="99" t="n">
        <x:v>1600</x:v>
      </x:c>
      <x:c r="L23" s="99" t="n">
        <x:f>IF(1&lt;=$F23,ROUND($K23*($J23^(1-1))*(1+'Dashboard'!$E$6*'Dashboard'!$E$7),0),"")</x:f>
        <x:v>1600</x:v>
      </x:c>
      <x:c r="M23" s="99" t="n">
        <x:f>IF(2&lt;=$F23,ROUND($K23*($J23^(2-1))*(1+'Dashboard'!$E$6*'Dashboard'!$E$7),0),"")</x:f>
        <x:v>2080</x:v>
      </x:c>
      <x:c r="N23" s="99" t="n">
        <x:f>IF(3&lt;=$F23,ROUND($K23*($J23^(3-1))*(1+'Dashboard'!$E$6*'Dashboard'!$E$7),0),"")</x:f>
        <x:v>2704</x:v>
      </x:c>
      <x:c r="O23" s="99" t="n">
        <x:f>IF(4&lt;=$F23,ROUND($K23*($J23^(4-1))*(1+'Dashboard'!$E$6*'Dashboard'!$E$7),0),"")</x:f>
        <x:v>3515</x:v>
      </x:c>
      <x:c r="P23" s="99" t="n">
        <x:f>IF(5&lt;=$F23,ROUND($K23*($J23^(5-1))*(1+'Dashboard'!$E$6*'Dashboard'!$E$7),0),"")</x:f>
        <x:v>4570</x:v>
      </x:c>
      <x:c r="Q23" s="99" t="n">
        <x:f>SUM(L23:P23)</x:f>
        <x:v>14469</x:v>
      </x:c>
      <x:c r="R23" s="99" t="n">
        <x:f>SUMIF($A$5:A23,A23,$Q$5:Q23)</x:f>
        <x:v>29618</x:v>
      </x:c>
      <x:c r="S23" s="97" t="n">
        <x:f>H23*F23</x:f>
        <x:v>1</x:v>
      </x:c>
      <x:c r="T23" s="96" t="str">
        <x:v>B</x:v>
      </x:c>
      <x:c r="U23" s="100" t="str">
        <x:v>Buon upgrade di contenuto; il bonus numerico soffre la saturazione a 100%.</x:v>
      </x:c>
      <x:c r="V23" s="100" t="str">
        <x:v>Ogni livello miscela il 20% del nuovo catalogo.</x:v>
      </x:c>
      <x:c r="W23" s="96" t="str">
        <x:v>src/content/upgrades.ts</x:v>
      </x:c>
    </x:row>
    <x:row r="24" ht="52" customHeight="1">
      <x:c r="A24" s="96" t="str">
        <x:v>Scrittura</x:v>
      </x:c>
      <x:c r="B24" s="96" t="n">
        <x:v>7</x:v>
      </x:c>
      <x:c r="C24" s="96" t="str">
        <x:v>marketing-course</x:v>
      </x:c>
      <x:c r="D24" s="96" t="str">
        <x:v>Corso di Marketing</x:v>
      </x:c>
      <x:c r="E24" s="96" t="n">
        <x:v>90</x:v>
      </x:c>
      <x:c r="F24" s="96" t="n">
        <x:v>5</x:v>
      </x:c>
      <x:c r="G24" s="96" t="str">
        <x:v>bookingMultiplier</x:v>
      </x:c>
      <x:c r="H24" s="97" t="n">
        <x:v>0.35</x:v>
      </x:c>
      <x:c r="I24" s="100" t="str">
        <x:v>Sblocca livello presentazione 7</x:v>
      </x:c>
      <x:c r="J24" s="98" t="n">
        <x:v>1.3</x:v>
      </x:c>
      <x:c r="K24" s="99" t="n">
        <x:v>3000</x:v>
      </x:c>
      <x:c r="L24" s="99" t="n">
        <x:f>IF(1&lt;=$F24,ROUND($K24*($J24^(1-1))*(1+'Dashboard'!$E$6*'Dashboard'!$E$7),0),"")</x:f>
        <x:v>3000</x:v>
      </x:c>
      <x:c r="M24" s="99" t="n">
        <x:f>IF(2&lt;=$F24,ROUND($K24*($J24^(2-1))*(1+'Dashboard'!$E$6*'Dashboard'!$E$7),0),"")</x:f>
        <x:v>3900</x:v>
      </x:c>
      <x:c r="N24" s="99" t="n">
        <x:f>IF(3&lt;=$F24,ROUND($K24*($J24^(3-1))*(1+'Dashboard'!$E$6*'Dashboard'!$E$7),0),"")</x:f>
        <x:v>5070</x:v>
      </x:c>
      <x:c r="O24" s="99" t="n">
        <x:f>IF(4&lt;=$F24,ROUND($K24*($J24^(4-1))*(1+'Dashboard'!$E$6*'Dashboard'!$E$7),0),"")</x:f>
        <x:v>6591</x:v>
      </x:c>
      <x:c r="P24" s="99" t="n">
        <x:f>IF(5&lt;=$F24,ROUND($K24*($J24^(5-1))*(1+'Dashboard'!$E$6*'Dashboard'!$E$7),0),"")</x:f>
        <x:v>8568</x:v>
      </x:c>
      <x:c r="Q24" s="99" t="n">
        <x:f>SUM(L24:P24)</x:f>
        <x:v>27129</x:v>
      </x:c>
      <x:c r="R24" s="99" t="n">
        <x:f>SUMIF($A$5:A24,A24,$Q$5:Q24)</x:f>
        <x:v>56747</x:v>
      </x:c>
      <x:c r="S24" s="97" t="n">
        <x:f>H24*F24</x:f>
        <x:v>1.75</x:v>
      </x:c>
      <x:c r="T24" s="96" t="str">
        <x:v>C</x:v>
      </x:c>
      <x:c r="U24" s="100" t="str">
        <x:v>Finale scenografico, ma gran parte del +175% nominale può essere sprecata per il cap prenotazioni.</x:v>
      </x:c>
      <x:c r="V24" s="100" t="str">
        <x:v>Ogni livello miscela il 20% del nuovo catalogo.</x:v>
      </x:c>
      <x:c r="W24" s="96" t="str">
        <x:v>src/content/upgrades.ts</x:v>
      </x:c>
    </x:row>
    <x:row r="25" ht="52" customHeight="1">
      <x:c r="A25" s="96" t="str">
        <x:v>Accoglienza</x:v>
      </x:c>
      <x:c r="B25" s="96" t="n">
        <x:v>1</x:v>
      </x:c>
      <x:c r="C25" s="96" t="str">
        <x:v>welcome-procedure</x:v>
      </x:c>
      <x:c r="D25" s="96" t="str">
        <x:v>Procedura di benvenuto</x:v>
      </x:c>
      <x:c r="E25" s="96" t="n">
        <x:v>0</x:v>
      </x:c>
      <x:c r="F25" s="96" t="n">
        <x:v>5</x:v>
      </x:c>
      <x:c r="G25" s="96" t="str">
        <x:v>enrollmentMultiplier</x:v>
      </x:c>
      <x:c r="H25" s="97" t="n">
        <x:v>0.1</x:v>
      </x:c>
      <x:c r="I25" s="100" t="str"/>
      <x:c r="J25" s="98" t="n">
        <x:v>1.3</x:v>
      </x:c>
      <x:c r="K25" s="99" t="n">
        <x:v>75</x:v>
      </x:c>
      <x:c r="L25" s="99" t="n">
        <x:f>IF(1&lt;=$F25,ROUND($K25*($J25^(1-1))*(1+'Dashboard'!$E$6*'Dashboard'!$E$7),0),"")</x:f>
        <x:v>75</x:v>
      </x:c>
      <x:c r="M25" s="99" t="n">
        <x:f>IF(2&lt;=$F25,ROUND($K25*($J25^(2-1))*(1+'Dashboard'!$E$6*'Dashboard'!$E$7),0),"")</x:f>
        <x:v>98</x:v>
      </x:c>
      <x:c r="N25" s="99" t="n">
        <x:f>IF(3&lt;=$F25,ROUND($K25*($J25^(3-1))*(1+'Dashboard'!$E$6*'Dashboard'!$E$7),0),"")</x:f>
        <x:v>127</x:v>
      </x:c>
      <x:c r="O25" s="99" t="n">
        <x:f>IF(4&lt;=$F25,ROUND($K25*($J25^(4-1))*(1+'Dashboard'!$E$6*'Dashboard'!$E$7),0),"")</x:f>
        <x:v>165</x:v>
      </x:c>
      <x:c r="P25" s="99" t="n">
        <x:f>IF(5&lt;=$F25,ROUND($K25*($J25^(5-1))*(1+'Dashboard'!$E$6*'Dashboard'!$E$7),0),"")</x:f>
        <x:v>214</x:v>
      </x:c>
      <x:c r="Q25" s="99" t="n">
        <x:f>SUM(L25:P25)</x:f>
        <x:v>679</x:v>
      </x:c>
      <x:c r="R25" s="99" t="n">
        <x:f>SUMIF($A$5:A25,A25,$Q$5:Q25)</x:f>
        <x:v>679</x:v>
      </x:c>
      <x:c r="S25" s="97" t="n">
        <x:f>H25*F25</x:f>
        <x:v>0.5</x:v>
      </x:c>
      <x:c r="T25" s="96" t="str">
        <x:v>B</x:v>
      </x:c>
      <x:c r="U25" s="100" t="str">
        <x:v>Economico, ma la label +10% non è un aumento diretto: alimenta un indice normalizzato su 5.</x:v>
      </x:c>
      <x:c r="V25" s="100" t="str">
        <x:v>Interpolazione tra chance base e massima.</x:v>
      </x:c>
      <x:c r="W25" s="96" t="str">
        <x:v>src/content/upgrades.ts</x:v>
      </x:c>
    </x:row>
    <x:row r="26" ht="52" customHeight="1">
      <x:c r="A26" s="96" t="str">
        <x:v>Accoglienza</x:v>
      </x:c>
      <x:c r="B26" s="96" t="n">
        <x:v>2</x:v>
      </x:c>
      <x:c r="C26" s="96" t="str">
        <x:v>tested-intro</x:v>
      </x:c>
      <x:c r="D26" s="96" t="str">
        <x:v>Lezione introduttiva collaudata</x:v>
      </x:c>
      <x:c r="E26" s="96" t="n">
        <x:v>8</x:v>
      </x:c>
      <x:c r="F26" s="96" t="n">
        <x:v>5</x:v>
      </x:c>
      <x:c r="G26" s="96" t="str">
        <x:v>enrollmentMultiplier</x:v>
      </x:c>
      <x:c r="H26" s="97" t="n">
        <x:v>0.15</x:v>
      </x:c>
      <x:c r="I26" s="100" t="str"/>
      <x:c r="J26" s="98" t="n">
        <x:v>1.3</x:v>
      </x:c>
      <x:c r="K26" s="99" t="n">
        <x:v>250</x:v>
      </x:c>
      <x:c r="L26" s="99" t="n">
        <x:f>IF(1&lt;=$F26,ROUND($K26*($J26^(1-1))*(1+'Dashboard'!$E$6*'Dashboard'!$E$7),0),"")</x:f>
        <x:v>250</x:v>
      </x:c>
      <x:c r="M26" s="99" t="n">
        <x:f>IF(2&lt;=$F26,ROUND($K26*($J26^(2-1))*(1+'Dashboard'!$E$6*'Dashboard'!$E$7),0),"")</x:f>
        <x:v>325</x:v>
      </x:c>
      <x:c r="N26" s="99" t="n">
        <x:f>IF(3&lt;=$F26,ROUND($K26*($J26^(3-1))*(1+'Dashboard'!$E$6*'Dashboard'!$E$7),0),"")</x:f>
        <x:v>423</x:v>
      </x:c>
      <x:c r="O26" s="99" t="n">
        <x:f>IF(4&lt;=$F26,ROUND($K26*($J26^(4-1))*(1+'Dashboard'!$E$6*'Dashboard'!$E$7),0),"")</x:f>
        <x:v>549</x:v>
      </x:c>
      <x:c r="P26" s="99" t="n">
        <x:f>IF(5&lt;=$F26,ROUND($K26*($J26^(5-1))*(1+'Dashboard'!$E$6*'Dashboard'!$E$7),0),"")</x:f>
        <x:v>714</x:v>
      </x:c>
      <x:c r="Q26" s="99" t="n">
        <x:f>SUM(L26:P26)</x:f>
        <x:v>2261</x:v>
      </x:c>
      <x:c r="R26" s="99" t="n">
        <x:f>SUMIF($A$5:A26,A26,$Q$5:Q26)</x:f>
        <x:v>2940</x:v>
      </x:c>
      <x:c r="S26" s="97" t="n">
        <x:f>H26*F26</x:f>
        <x:v>0.75</x:v>
      </x:c>
      <x:c r="T26" s="96" t="str">
        <x:v>B</x:v>
      </x:c>
      <x:c r="U26" s="100" t="str">
        <x:v>Buon secondo gradino; resa assoluta diversa per rarità.</x:v>
      </x:c>
      <x:c r="V26" s="100" t="str">
        <x:v>Interpolazione tra chance base e massima.</x:v>
      </x:c>
      <x:c r="W26" s="96" t="str">
        <x:v>src/content/upgrades.ts</x:v>
      </x:c>
    </x:row>
    <x:row r="27" ht="52" customHeight="1">
      <x:c r="A27" s="96" t="str">
        <x:v>Accoglienza</x:v>
      </x:c>
      <x:c r="B27" s="96" t="n">
        <x:v>3</x:v>
      </x:c>
      <x:c r="C27" s="96" t="str">
        <x:v>clear-material</x:v>
      </x:c>
      <x:c r="D27" s="96" t="str">
        <x:v>Materiale informativo chiaro</x:v>
      </x:c>
      <x:c r="E27" s="96" t="n">
        <x:v>20</x:v>
      </x:c>
      <x:c r="F27" s="96" t="n">
        <x:v>5</x:v>
      </x:c>
      <x:c r="G27" s="96" t="str">
        <x:v>enrollmentMultiplier</x:v>
      </x:c>
      <x:c r="H27" s="97" t="n">
        <x:v>0.1</x:v>
      </x:c>
      <x:c r="I27" s="100" t="str"/>
      <x:c r="J27" s="98" t="n">
        <x:v>1.3</x:v>
      </x:c>
      <x:c r="K27" s="99" t="n">
        <x:v>700</x:v>
      </x:c>
      <x:c r="L27" s="99" t="n">
        <x:f>IF(1&lt;=$F27,ROUND($K27*($J27^(1-1))*(1+'Dashboard'!$E$6*'Dashboard'!$E$7),0),"")</x:f>
        <x:v>700</x:v>
      </x:c>
      <x:c r="M27" s="99" t="n">
        <x:f>IF(2&lt;=$F27,ROUND($K27*($J27^(2-1))*(1+'Dashboard'!$E$6*'Dashboard'!$E$7),0),"")</x:f>
        <x:v>910</x:v>
      </x:c>
      <x:c r="N27" s="99" t="n">
        <x:f>IF(3&lt;=$F27,ROUND($K27*($J27^(3-1))*(1+'Dashboard'!$E$6*'Dashboard'!$E$7),0),"")</x:f>
        <x:v>1183</x:v>
      </x:c>
      <x:c r="O27" s="99" t="n">
        <x:f>IF(4&lt;=$F27,ROUND($K27*($J27^(4-1))*(1+'Dashboard'!$E$6*'Dashboard'!$E$7),0),"")</x:f>
        <x:v>1538</x:v>
      </x:c>
      <x:c r="P27" s="99" t="n">
        <x:f>IF(5&lt;=$F27,ROUND($K27*($J27^(5-1))*(1+'Dashboard'!$E$6*'Dashboard'!$E$7),0),"")</x:f>
        <x:v>1999</x:v>
      </x:c>
      <x:c r="Q27" s="99" t="n">
        <x:f>SUM(L27:P27)</x:f>
        <x:v>6330</x:v>
      </x:c>
      <x:c r="R27" s="99" t="n">
        <x:f>SUMIF($A$5:A27,A27,$Q$5:Q27)</x:f>
        <x:v>9270</x:v>
      </x:c>
      <x:c r="S27" s="97" t="n">
        <x:f>H27*F27</x:f>
        <x:v>0.5</x:v>
      </x:c>
      <x:c r="T27" s="96" t="str">
        <x:v>C</x:v>
      </x:c>
      <x:c r="U27" s="100" t="str">
        <x:v>Stesso peso del primo nodo a costo molto maggiore; progressione poco gratificante.</x:v>
      </x:c>
      <x:c r="V27" s="100" t="str">
        <x:v>Aggiungere nuovi bonus dello stesso tipo riduce retroattivamente il peso di tutti.</x:v>
      </x:c>
      <x:c r="W27" s="96" t="str">
        <x:v>src/content/upgrades.ts</x:v>
      </x:c>
    </x:row>
    <x:row r="28" ht="52" customHeight="1">
      <x:c r="A28" s="96" t="str">
        <x:v>Accoglienza</x:v>
      </x:c>
      <x:c r="B28" s="96" t="n">
        <x:v>4</x:v>
      </x:c>
      <x:c r="C28" s="96" t="str">
        <x:v>dedicated-helper</x:v>
      </x:c>
      <x:c r="D28" s="96" t="str">
        <x:v>Collaboratore dedicato</x:v>
      </x:c>
      <x:c r="E28" s="96" t="n">
        <x:v>35</x:v>
      </x:c>
      <x:c r="F28" s="96" t="n">
        <x:v>5</x:v>
      </x:c>
      <x:c r="G28" s="96" t="str">
        <x:v>enrollmentMultiplier</x:v>
      </x:c>
      <x:c r="H28" s="97" t="n">
        <x:v>0.15</x:v>
      </x:c>
      <x:c r="I28" s="100" t="str"/>
      <x:c r="J28" s="98" t="n">
        <x:v>1.3</x:v>
      </x:c>
      <x:c r="K28" s="99" t="n">
        <x:v>1300</x:v>
      </x:c>
      <x:c r="L28" s="99" t="n">
        <x:f>IF(1&lt;=$F28,ROUND($K28*($J28^(1-1))*(1+'Dashboard'!$E$6*'Dashboard'!$E$7),0),"")</x:f>
        <x:v>1300</x:v>
      </x:c>
      <x:c r="M28" s="99" t="n">
        <x:f>IF(2&lt;=$F28,ROUND($K28*($J28^(2-1))*(1+'Dashboard'!$E$6*'Dashboard'!$E$7),0),"")</x:f>
        <x:v>1690</x:v>
      </x:c>
      <x:c r="N28" s="99" t="n">
        <x:f>IF(3&lt;=$F28,ROUND($K28*($J28^(3-1))*(1+'Dashboard'!$E$6*'Dashboard'!$E$7),0),"")</x:f>
        <x:v>2197</x:v>
      </x:c>
      <x:c r="O28" s="99" t="n">
        <x:f>IF(4&lt;=$F28,ROUND($K28*($J28^(4-1))*(1+'Dashboard'!$E$6*'Dashboard'!$E$7),0),"")</x:f>
        <x:v>2856</x:v>
      </x:c>
      <x:c r="P28" s="99" t="n">
        <x:f>IF(5&lt;=$F28,ROUND($K28*($J28^(5-1))*(1+'Dashboard'!$E$6*'Dashboard'!$E$7),0),"")</x:f>
        <x:v>3713</x:v>
      </x:c>
      <x:c r="Q28" s="99" t="n">
        <x:f>SUM(L28:P28)</x:f>
        <x:v>11756</x:v>
      </x:c>
      <x:c r="R28" s="99" t="n">
        <x:f>SUMIF($A$5:A28,A28,$Q$5:Q28)</x:f>
        <x:v>21026</x:v>
      </x:c>
      <x:c r="S28" s="97" t="n">
        <x:f>H28*F28</x:f>
        <x:v>0.75</x:v>
      </x:c>
      <x:c r="T28" s="96" t="str">
        <x:v>B</x:v>
      </x:c>
      <x:c r="U28" s="100" t="str">
        <x:v>Valore moderato e prevedibile, ma può essere assorbito da produttività e specializzazione.</x:v>
      </x:c>
      <x:c r="V28" s="100" t="str">
        <x:v>Il progresso complessivo è clampato a 1.</x:v>
      </x:c>
      <x:c r="W28" s="96" t="str">
        <x:v>src/content/upgrades.ts</x:v>
      </x:c>
    </x:row>
    <x:row r="29" ht="52" customHeight="1">
      <x:c r="A29" s="96" t="str">
        <x:v>Accoglienza</x:v>
      </x:c>
      <x:c r="B29" s="96" t="n">
        <x:v>5</x:v>
      </x:c>
      <x:c r="C29" s="96" t="str">
        <x:v>prepared-room</x:v>
      </x:c>
      <x:c r="D29" s="96" t="str">
        <x:v>Sala preparata</x:v>
      </x:c>
      <x:c r="E29" s="96" t="n">
        <x:v>55</x:v>
      </x:c>
      <x:c r="F29" s="96" t="n">
        <x:v>5</x:v>
      </x:c>
      <x:c r="G29" s="96" t="str">
        <x:v>enrollmentMultiplier</x:v>
      </x:c>
      <x:c r="H29" s="97" t="n">
        <x:v>0.2</x:v>
      </x:c>
      <x:c r="I29" s="100" t="str"/>
      <x:c r="J29" s="98" t="n">
        <x:v>1.3</x:v>
      </x:c>
      <x:c r="K29" s="99" t="n">
        <x:v>2500</x:v>
      </x:c>
      <x:c r="L29" s="99" t="n">
        <x:f>IF(1&lt;=$F29,ROUND($K29*($J29^(1-1))*(1+'Dashboard'!$E$6*'Dashboard'!$E$7),0),"")</x:f>
        <x:v>2500</x:v>
      </x:c>
      <x:c r="M29" s="99" t="n">
        <x:f>IF(2&lt;=$F29,ROUND($K29*($J29^(2-1))*(1+'Dashboard'!$E$6*'Dashboard'!$E$7),0),"")</x:f>
        <x:v>3250</x:v>
      </x:c>
      <x:c r="N29" s="99" t="n">
        <x:f>IF(3&lt;=$F29,ROUND($K29*($J29^(3-1))*(1+'Dashboard'!$E$6*'Dashboard'!$E$7),0),"")</x:f>
        <x:v>4225</x:v>
      </x:c>
      <x:c r="O29" s="99" t="n">
        <x:f>IF(4&lt;=$F29,ROUND($K29*($J29^(4-1))*(1+'Dashboard'!$E$6*'Dashboard'!$E$7),0),"")</x:f>
        <x:v>5493</x:v>
      </x:c>
      <x:c r="P29" s="99" t="n">
        <x:f>IF(5&lt;=$F29,ROUND($K29*($J29^(5-1))*(1+'Dashboard'!$E$6*'Dashboard'!$E$7),0),"")</x:f>
        <x:v>7140</x:v>
      </x:c>
      <x:c r="Q29" s="99" t="n">
        <x:f>SUM(L29:P29)</x:f>
        <x:v>22608</x:v>
      </x:c>
      <x:c r="R29" s="99" t="n">
        <x:f>SUMIF($A$5:A29,A29,$Q$5:Q29)</x:f>
        <x:v>43634</x:v>
      </x:c>
      <x:c r="S29" s="97" t="n">
        <x:f>H29*F29</x:f>
        <x:v>1</x:v>
      </x:c>
      <x:c r="T29" s="96" t="str">
        <x:v>B</x:v>
      </x:c>
      <x:c r="U29" s="100" t="str">
        <x:v>Buon contributo late-game; efficienza economica in calo ma non anomala.</x:v>
      </x:c>
      <x:c r="V29" s="100" t="str">
        <x:v>Il progresso complessivo è clampato a 1.</x:v>
      </x:c>
      <x:c r="W29" s="96" t="str">
        <x:v>src/content/upgrades.ts</x:v>
      </x:c>
    </x:row>
    <x:row r="30" ht="52" customHeight="1">
      <x:c r="A30" s="96" t="str">
        <x:v>Accoglienza</x:v>
      </x:c>
      <x:c r="B30" s="96" t="n">
        <x:v>6</x:v>
      </x:c>
      <x:c r="C30" s="96" t="str">
        <x:v>memorable-experience</x:v>
      </x:c>
      <x:c r="D30" s="96" t="str">
        <x:v>Esperienza memorabile</x:v>
      </x:c>
      <x:c r="E30" s="96" t="n">
        <x:v>85</x:v>
      </x:c>
      <x:c r="F30" s="96" t="n">
        <x:v>5</x:v>
      </x:c>
      <x:c r="G30" s="96" t="str">
        <x:v>enrollmentMultiplier</x:v>
      </x:c>
      <x:c r="H30" s="97" t="n">
        <x:v>0.3</x:v>
      </x:c>
      <x:c r="I30" s="100" t="str"/>
      <x:c r="J30" s="98" t="n">
        <x:v>1.3</x:v>
      </x:c>
      <x:c r="K30" s="99" t="n">
        <x:v>5000</x:v>
      </x:c>
      <x:c r="L30" s="99" t="n">
        <x:f>IF(1&lt;=$F30,ROUND($K30*($J30^(1-1))*(1+'Dashboard'!$E$6*'Dashboard'!$E$7),0),"")</x:f>
        <x:v>5000</x:v>
      </x:c>
      <x:c r="M30" s="99" t="n">
        <x:f>IF(2&lt;=$F30,ROUND($K30*($J30^(2-1))*(1+'Dashboard'!$E$6*'Dashboard'!$E$7),0),"")</x:f>
        <x:v>6500</x:v>
      </x:c>
      <x:c r="N30" s="99" t="n">
        <x:f>IF(3&lt;=$F30,ROUND($K30*($J30^(3-1))*(1+'Dashboard'!$E$6*'Dashboard'!$E$7),0),"")</x:f>
        <x:v>8450</x:v>
      </x:c>
      <x:c r="O30" s="99" t="n">
        <x:f>IF(4&lt;=$F30,ROUND($K30*($J30^(4-1))*(1+'Dashboard'!$E$6*'Dashboard'!$E$7),0),"")</x:f>
        <x:v>10985</x:v>
      </x:c>
      <x:c r="P30" s="99" t="n">
        <x:f>IF(5&lt;=$F30,ROUND($K30*($J30^(5-1))*(1+'Dashboard'!$E$6*'Dashboard'!$E$7),0),"")</x:f>
        <x:v>14281</x:v>
      </x:c>
      <x:c r="Q30" s="99" t="n">
        <x:f>SUM(L30:P30)</x:f>
        <x:v>45216</x:v>
      </x:c>
      <x:c r="R30" s="99" t="n">
        <x:f>SUMIF($A$5:A30,A30,$Q$5:Q30)</x:f>
        <x:v>88850</x:v>
      </x:c>
      <x:c r="S30" s="97" t="n">
        <x:f>H30*F30</x:f>
        <x:v>1.5</x:v>
      </x:c>
      <x:c r="T30" s="96" t="str">
        <x:v>C</x:v>
      </x:c>
      <x:c r="U30" s="100" t="str">
        <x:v>Costoso e soggetto a saturazione anticipata con collaboratori lezioni/specializzazione.</x:v>
      </x:c>
      <x:c r="V30" s="100" t="str">
        <x:v>Il progresso complessivo è clampato a 1.</x:v>
      </x:c>
      <x:c r="W30" s="96" t="str">
        <x:v>src/content/upgrades.ts</x:v>
      </x:c>
    </x:row>
    <x:row r="31" ht="52" customHeight="1">
      <x:c r="A31" s="96" t="str">
        <x:v>Social</x:v>
      </x:c>
      <x:c r="B31" s="96" t="n">
        <x:v>1</x:v>
      </x:c>
      <x:c r="C31" s="96" t="str">
        <x:v>updated-page</x:v>
      </x:c>
      <x:c r="D31" s="96" t="str">
        <x:v>Pagina aggiornata</x:v>
      </x:c>
      <x:c r="E31" s="96" t="n">
        <x:v>10</x:v>
      </x:c>
      <x:c r="F31" s="96" t="n">
        <x:v>5</x:v>
      </x:c>
      <x:c r="G31" s="96" t="str">
        <x:v>socialMultiplier</x:v>
      </x:c>
      <x:c r="H31" s="97" t="n">
        <x:v>0.15</x:v>
      </x:c>
      <x:c r="I31" s="100" t="str"/>
      <x:c r="J31" s="98" t="n">
        <x:v>1.3</x:v>
      </x:c>
      <x:c r="K31" s="99" t="n">
        <x:v>250</x:v>
      </x:c>
      <x:c r="L31" s="99" t="n">
        <x:f>IF(1&lt;=$F31,ROUND($K31*($J31^(1-1))*(1+'Dashboard'!$E$6*'Dashboard'!$E$7),0),"")</x:f>
        <x:v>250</x:v>
      </x:c>
      <x:c r="M31" s="99" t="n">
        <x:f>IF(2&lt;=$F31,ROUND($K31*($J31^(2-1))*(1+'Dashboard'!$E$6*'Dashboard'!$E$7),0),"")</x:f>
        <x:v>325</x:v>
      </x:c>
      <x:c r="N31" s="99" t="n">
        <x:f>IF(3&lt;=$F31,ROUND($K31*($J31^(3-1))*(1+'Dashboard'!$E$6*'Dashboard'!$E$7),0),"")</x:f>
        <x:v>423</x:v>
      </x:c>
      <x:c r="O31" s="99" t="n">
        <x:f>IF(4&lt;=$F31,ROUND($K31*($J31^(4-1))*(1+'Dashboard'!$E$6*'Dashboard'!$E$7),0),"")</x:f>
        <x:v>549</x:v>
      </x:c>
      <x:c r="P31" s="99" t="n">
        <x:f>IF(5&lt;=$F31,ROUND($K31*($J31^(5-1))*(1+'Dashboard'!$E$6*'Dashboard'!$E$7),0),"")</x:f>
        <x:v>714</x:v>
      </x:c>
      <x:c r="Q31" s="99" t="n">
        <x:f>SUM(L31:P31)</x:f>
        <x:v>2261</x:v>
      </x:c>
      <x:c r="R31" s="99" t="n">
        <x:f>SUMIF($A$5:A31,A31,$Q$5:Q31)</x:f>
        <x:v>2261</x:v>
      </x:c>
      <x:c r="S31" s="97" t="n">
        <x:f>H31*F31</x:f>
        <x:v>0.75</x:v>
      </x:c>
      <x:c r="T31" s="96" t="str">
        <x:v>A</x:v>
      </x:c>
      <x:c r="U31" s="100" t="str">
        <x:v>Incremento chiaro e utile sia alla produzione passiva sia alle campagne Social.</x:v>
      </x:c>
      <x:c r="V31" s="100" t="str">
        <x:v>Si moltiplica con automationMultiplier.</x:v>
      </x:c>
      <x:c r="W31" s="96" t="str">
        <x:v>src/content/upgrades.ts</x:v>
      </x:c>
    </x:row>
    <x:row r="32" ht="52" customHeight="1">
      <x:c r="A32" s="96" t="str">
        <x:v>Social</x:v>
      </x:c>
      <x:c r="B32" s="96" t="n">
        <x:v>2</x:v>
      </x:c>
      <x:c r="C32" s="96" t="str">
        <x:v>editorial-calendar</x:v>
      </x:c>
      <x:c r="D32" s="96" t="str">
        <x:v>Calendario editoriale</x:v>
      </x:c>
      <x:c r="E32" s="96" t="n">
        <x:v>15</x:v>
      </x:c>
      <x:c r="F32" s="96" t="n">
        <x:v>5</x:v>
      </x:c>
      <x:c r="G32" s="96" t="str">
        <x:v>socialMultiplier</x:v>
      </x:c>
      <x:c r="H32" s="97" t="n">
        <x:v>0.2</x:v>
      </x:c>
      <x:c r="I32" s="100" t="str"/>
      <x:c r="J32" s="98" t="n">
        <x:v>1.3</x:v>
      </x:c>
      <x:c r="K32" s="99" t="n">
        <x:v>400</x:v>
      </x:c>
      <x:c r="L32" s="99" t="n">
        <x:f>IF(1&lt;=$F32,ROUND($K32*($J32^(1-1))*(1+'Dashboard'!$E$6*'Dashboard'!$E$7),0),"")</x:f>
        <x:v>400</x:v>
      </x:c>
      <x:c r="M32" s="99" t="n">
        <x:f>IF(2&lt;=$F32,ROUND($K32*($J32^(2-1))*(1+'Dashboard'!$E$6*'Dashboard'!$E$7),0),"")</x:f>
        <x:v>520</x:v>
      </x:c>
      <x:c r="N32" s="99" t="n">
        <x:f>IF(3&lt;=$F32,ROUND($K32*($J32^(3-1))*(1+'Dashboard'!$E$6*'Dashboard'!$E$7),0),"")</x:f>
        <x:v>676</x:v>
      </x:c>
      <x:c r="O32" s="99" t="n">
        <x:f>IF(4&lt;=$F32,ROUND($K32*($J32^(4-1))*(1+'Dashboard'!$E$6*'Dashboard'!$E$7),0),"")</x:f>
        <x:v>879</x:v>
      </x:c>
      <x:c r="P32" s="99" t="n">
        <x:f>IF(5&lt;=$F32,ROUND($K32*($J32^(5-1))*(1+'Dashboard'!$E$6*'Dashboard'!$E$7),0),"")</x:f>
        <x:v>1142</x:v>
      </x:c>
      <x:c r="Q32" s="99" t="n">
        <x:f>SUM(L32:P32)</x:f>
        <x:v>3617</x:v>
      </x:c>
      <x:c r="R32" s="99" t="n">
        <x:f>SUMIF($A$5:A32,A32,$Q$5:Q32)</x:f>
        <x:v>5878</x:v>
      </x:c>
      <x:c r="S32" s="97" t="n">
        <x:f>H32*F32</x:f>
        <x:v>1</x:v>
      </x:c>
      <x:c r="T32" s="96" t="str">
        <x:v>A</x:v>
      </x:c>
      <x:c r="U32" s="100" t="str">
        <x:v>Ottima efficienza iniziale; sinergia moltiplicativa con automazione.</x:v>
      </x:c>
      <x:c r="V32" s="100" t="str">
        <x:v>Si moltiplica con automationMultiplier.</x:v>
      </x:c>
      <x:c r="W32" s="96" t="str">
        <x:v>src/content/upgrades.ts</x:v>
      </x:c>
    </x:row>
    <x:row r="33" ht="52" customHeight="1">
      <x:c r="A33" s="96" t="str">
        <x:v>Social</x:v>
      </x:c>
      <x:c r="B33" s="96" t="n">
        <x:v>3</x:v>
      </x:c>
      <x:c r="C33" s="96" t="str">
        <x:v>lesson-photos</x:v>
      </x:c>
      <x:c r="D33" s="96" t="str">
        <x:v>Foto delle lezioni</x:v>
      </x:c>
      <x:c r="E33" s="96" t="n">
        <x:v>25</x:v>
      </x:c>
      <x:c r="F33" s="96" t="n">
        <x:v>5</x:v>
      </x:c>
      <x:c r="G33" s="96" t="str">
        <x:v>socialMultiplier</x:v>
      </x:c>
      <x:c r="H33" s="97" t="n">
        <x:v>0.25</x:v>
      </x:c>
      <x:c r="I33" s="100" t="str">
        <x:v>Logo e immagini dichiarati</x:v>
      </x:c>
      <x:c r="J33" s="98" t="n">
        <x:v>1.3</x:v>
      </x:c>
      <x:c r="K33" s="99" t="n">
        <x:v>750</x:v>
      </x:c>
      <x:c r="L33" s="99" t="n">
        <x:f>IF(1&lt;=$F33,ROUND($K33*($J33^(1-1))*(1+'Dashboard'!$E$6*'Dashboard'!$E$7),0),"")</x:f>
        <x:v>750</x:v>
      </x:c>
      <x:c r="M33" s="99" t="n">
        <x:f>IF(2&lt;=$F33,ROUND($K33*($J33^(2-1))*(1+'Dashboard'!$E$6*'Dashboard'!$E$7),0),"")</x:f>
        <x:v>975</x:v>
      </x:c>
      <x:c r="N33" s="99" t="n">
        <x:f>IF(3&lt;=$F33,ROUND($K33*($J33^(3-1))*(1+'Dashboard'!$E$6*'Dashboard'!$E$7),0),"")</x:f>
        <x:v>1268</x:v>
      </x:c>
      <x:c r="O33" s="99" t="n">
        <x:f>IF(4&lt;=$F33,ROUND($K33*($J33^(4-1))*(1+'Dashboard'!$E$6*'Dashboard'!$E$7),0),"")</x:f>
        <x:v>1648</x:v>
      </x:c>
      <x:c r="P33" s="99" t="n">
        <x:f>IF(5&lt;=$F33,ROUND($K33*($J33^(5-1))*(1+'Dashboard'!$E$6*'Dashboard'!$E$7),0),"")</x:f>
        <x:v>2142</x:v>
      </x:c>
      <x:c r="Q33" s="99" t="n">
        <x:f>SUM(L33:P33)</x:f>
        <x:v>6783</x:v>
      </x:c>
      <x:c r="R33" s="99" t="n">
        <x:f>SUMIF($A$5:A33,A33,$Q$5:Q33)</x:f>
        <x:v>12661</x:v>
      </x:c>
      <x:c r="S33" s="97" t="n">
        <x:f>H33*F33</x:f>
        <x:v>1.25</x:v>
      </x:c>
      <x:c r="T33" s="96" t="str">
        <x:v>B</x:v>
      </x:c>
      <x:c r="U33" s="100" t="str">
        <x:v>Buon moltiplicatore, ma lo sblocco grafico dichiarato non è collegato al runtime.</x:v>
      </x:c>
      <x:c r="V33" s="100" t="str">
        <x:v>L'ID non è consumato da sistemi di presentazione.</x:v>
      </x:c>
      <x:c r="W33" s="96" t="str">
        <x:v>src/content/upgrades.ts</x:v>
      </x:c>
    </x:row>
    <x:row r="34" ht="52" customHeight="1">
      <x:c r="A34" s="96" t="str">
        <x:v>Social</x:v>
      </x:c>
      <x:c r="B34" s="96" t="n">
        <x:v>4</x:v>
      </x:c>
      <x:c r="C34" s="96" t="str">
        <x:v>demo-video</x:v>
      </x:c>
      <x:c r="D34" s="96" t="str">
        <x:v>Video dimostrativo</x:v>
      </x:c>
      <x:c r="E34" s="96" t="n">
        <x:v>40</x:v>
      </x:c>
      <x:c r="F34" s="96" t="n">
        <x:v>5</x:v>
      </x:c>
      <x:c r="G34" s="96" t="str">
        <x:v>socialMultiplier</x:v>
      </x:c>
      <x:c r="H34" s="97" t="n">
        <x:v>0.3</x:v>
      </x:c>
      <x:c r="I34" s="100" t="str">
        <x:v>Volantino completo dichiarato</x:v>
      </x:c>
      <x:c r="J34" s="98" t="n">
        <x:v>1.3</x:v>
      </x:c>
      <x:c r="K34" s="99" t="n">
        <x:v>1500</x:v>
      </x:c>
      <x:c r="L34" s="99" t="n">
        <x:f>IF(1&lt;=$F34,ROUND($K34*($J34^(1-1))*(1+'Dashboard'!$E$6*'Dashboard'!$E$7),0),"")</x:f>
        <x:v>1500</x:v>
      </x:c>
      <x:c r="M34" s="99" t="n">
        <x:f>IF(2&lt;=$F34,ROUND($K34*($J34^(2-1))*(1+'Dashboard'!$E$6*'Dashboard'!$E$7),0),"")</x:f>
        <x:v>1950</x:v>
      </x:c>
      <x:c r="N34" s="99" t="n">
        <x:f>IF(3&lt;=$F34,ROUND($K34*($J34^(3-1))*(1+'Dashboard'!$E$6*'Dashboard'!$E$7),0),"")</x:f>
        <x:v>2535</x:v>
      </x:c>
      <x:c r="O34" s="99" t="n">
        <x:f>IF(4&lt;=$F34,ROUND($K34*($J34^(4-1))*(1+'Dashboard'!$E$6*'Dashboard'!$E$7),0),"")</x:f>
        <x:v>3296</x:v>
      </x:c>
      <x:c r="P34" s="99" t="n">
        <x:f>IF(5&lt;=$F34,ROUND($K34*($J34^(5-1))*(1+'Dashboard'!$E$6*'Dashboard'!$E$7),0),"")</x:f>
        <x:v>4284</x:v>
      </x:c>
      <x:c r="Q34" s="99" t="n">
        <x:f>SUM(L34:P34)</x:f>
        <x:v>13565</x:v>
      </x:c>
      <x:c r="R34" s="99" t="n">
        <x:f>SUMIF($A$5:A34,A34,$Q$5:Q34)</x:f>
        <x:v>26226</x:v>
      </x:c>
      <x:c r="S34" s="97" t="n">
        <x:f>H34*F34</x:f>
        <x:v>1.5</x:v>
      </x:c>
      <x:c r="T34" s="96" t="str">
        <x:v>B</x:v>
      </x:c>
      <x:c r="U34" s="100" t="str">
        <x:v>Buona crescita numerica; lo sblocco volantino dichiarato non è implementato.</x:v>
      </x:c>
      <x:c r="V34" s="100" t="str">
        <x:v>L'ID non è consumato da sistemi di presentazione.</x:v>
      </x:c>
      <x:c r="W34" s="96" t="str">
        <x:v>src/content/upgrades.ts</x:v>
      </x:c>
    </x:row>
    <x:row r="35" ht="52" customHeight="1">
      <x:c r="A35" s="96" t="str">
        <x:v>Social</x:v>
      </x:c>
      <x:c r="B35" s="96" t="n">
        <x:v>5</x:v>
      </x:c>
      <x:c r="C35" s="96" t="str">
        <x:v>weekly-column</x:v>
      </x:c>
      <x:c r="D35" s="96" t="str">
        <x:v>Rubrica settimanale</x:v>
      </x:c>
      <x:c r="E35" s="96" t="n">
        <x:v>55</x:v>
      </x:c>
      <x:c r="F35" s="96" t="n">
        <x:v>5</x:v>
      </x:c>
      <x:c r="G35" s="96" t="str">
        <x:v>socialMultiplier</x:v>
      </x:c>
      <x:c r="H35" s="97" t="n">
        <x:v>0.35</x:v>
      </x:c>
      <x:c r="I35" s="100" t="str"/>
      <x:c r="J35" s="98" t="n">
        <x:v>1.3</x:v>
      </x:c>
      <x:c r="K35" s="99" t="n">
        <x:v>2500</x:v>
      </x:c>
      <x:c r="L35" s="99" t="n">
        <x:f>IF(1&lt;=$F35,ROUND($K35*($J35^(1-1))*(1+'Dashboard'!$E$6*'Dashboard'!$E$7),0),"")</x:f>
        <x:v>2500</x:v>
      </x:c>
      <x:c r="M35" s="99" t="n">
        <x:f>IF(2&lt;=$F35,ROUND($K35*($J35^(2-1))*(1+'Dashboard'!$E$6*'Dashboard'!$E$7),0),"")</x:f>
        <x:v>3250</x:v>
      </x:c>
      <x:c r="N35" s="99" t="n">
        <x:f>IF(3&lt;=$F35,ROUND($K35*($J35^(3-1))*(1+'Dashboard'!$E$6*'Dashboard'!$E$7),0),"")</x:f>
        <x:v>4225</x:v>
      </x:c>
      <x:c r="O35" s="99" t="n">
        <x:f>IF(4&lt;=$F35,ROUND($K35*($J35^(4-1))*(1+'Dashboard'!$E$6*'Dashboard'!$E$7),0),"")</x:f>
        <x:v>5493</x:v>
      </x:c>
      <x:c r="P35" s="99" t="n">
        <x:f>IF(5&lt;=$F35,ROUND($K35*($J35^(5-1))*(1+'Dashboard'!$E$6*'Dashboard'!$E$7),0),"")</x:f>
        <x:v>7140</x:v>
      </x:c>
      <x:c r="Q35" s="99" t="n">
        <x:f>SUM(L35:P35)</x:f>
        <x:v>22608</x:v>
      </x:c>
      <x:c r="R35" s="99" t="n">
        <x:f>SUMIF($A$5:A35,A35,$Q$5:Q35)</x:f>
        <x:v>48834</x:v>
      </x:c>
      <x:c r="S35" s="97" t="n">
        <x:f>H35*F35</x:f>
        <x:v>1.75</x:v>
      </x:c>
      <x:c r="T35" s="96" t="str">
        <x:v>B</x:v>
      </x:c>
      <x:c r="U35" s="100" t="str">
        <x:v>Solido, ma il prodotto Social×Automazione inizia a crescere molto rapidamente.</x:v>
      </x:c>
      <x:c r="V35" s="100" t="str">
        <x:v>Si moltiplica con automationMultiplier.</x:v>
      </x:c>
      <x:c r="W35" s="96" t="str">
        <x:v>src/content/upgrades.ts</x:v>
      </x:c>
    </x:row>
    <x:row r="36" ht="52" customHeight="1">
      <x:c r="A36" s="96" t="str">
        <x:v>Social</x:v>
      </x:c>
      <x:c r="B36" s="96" t="n">
        <x:v>6</x:v>
      </x:c>
      <x:c r="C36" s="96" t="str">
        <x:v>viral-post</x:v>
      </x:c>
      <x:c r="D36" s="96" t="str">
        <x:v>Post inspiegabilmente virale</x:v>
      </x:c>
      <x:c r="E36" s="96" t="n">
        <x:v>75</x:v>
      </x:c>
      <x:c r="F36" s="96" t="n">
        <x:v>5</x:v>
      </x:c>
      <x:c r="G36" s="96" t="str">
        <x:v>socialMultiplier</x:v>
      </x:c>
      <x:c r="H36" s="97" t="n">
        <x:v>0.5</x:v>
      </x:c>
      <x:c r="I36" s="100" t="str"/>
      <x:c r="J36" s="98" t="n">
        <x:v>1.3</x:v>
      </x:c>
      <x:c r="K36" s="99" t="n">
        <x:v>4000</x:v>
      </x:c>
      <x:c r="L36" s="99" t="n">
        <x:f>IF(1&lt;=$F36,ROUND($K36*($J36^(1-1))*(1+'Dashboard'!$E$6*'Dashboard'!$E$7),0),"")</x:f>
        <x:v>4000</x:v>
      </x:c>
      <x:c r="M36" s="99" t="n">
        <x:f>IF(2&lt;=$F36,ROUND($K36*($J36^(2-1))*(1+'Dashboard'!$E$6*'Dashboard'!$E$7),0),"")</x:f>
        <x:v>5200</x:v>
      </x:c>
      <x:c r="N36" s="99" t="n">
        <x:f>IF(3&lt;=$F36,ROUND($K36*($J36^(3-1))*(1+'Dashboard'!$E$6*'Dashboard'!$E$7),0),"")</x:f>
        <x:v>6760</x:v>
      </x:c>
      <x:c r="O36" s="99" t="n">
        <x:f>IF(4&lt;=$F36,ROUND($K36*($J36^(4-1))*(1+'Dashboard'!$E$6*'Dashboard'!$E$7),0),"")</x:f>
        <x:v>8788</x:v>
      </x:c>
      <x:c r="P36" s="99" t="n">
        <x:f>IF(5&lt;=$F36,ROUND($K36*($J36^(5-1))*(1+'Dashboard'!$E$6*'Dashboard'!$E$7),0),"")</x:f>
        <x:v>11424</x:v>
      </x:c>
      <x:c r="Q36" s="99" t="n">
        <x:f>SUM(L36:P36)</x:f>
        <x:v>36172</x:v>
      </x:c>
      <x:c r="R36" s="99" t="n">
        <x:f>SUMIF($A$5:A36,A36,$Q$5:Q36)</x:f>
        <x:v>85006</x:v>
      </x:c>
      <x:c r="S36" s="97" t="n">
        <x:f>H36*F36</x:f>
        <x:v>2.5</x:v>
      </x:c>
      <x:c r="T36" s="96" t="str">
        <x:v>B</x:v>
      </x:c>
      <x:c r="U36" s="100" t="str">
        <x:v>Molto potente (+250%); rischia di rendere marginali le campagne manuali.</x:v>
      </x:c>
      <x:c r="V36" s="100" t="str">
        <x:v>Non aumenta la probabilità virale, solo i contatti prodotti.</x:v>
      </x:c>
      <x:c r="W36" s="96" t="str">
        <x:v>src/content/upgrades.ts</x:v>
      </x:c>
    </x:row>
    <x:row r="37" ht="52" customHeight="1">
      <x:c r="A37" s="96" t="str">
        <x:v>Social</x:v>
      </x:c>
      <x:c r="B37" s="96" t="n">
        <x:v>7</x:v>
      </x:c>
      <x:c r="C37" s="96" t="str">
        <x:v>professional-management</x:v>
      </x:c>
      <x:c r="D37" s="96" t="str">
        <x:v>Gestione professionale</x:v>
      </x:c>
      <x:c r="E37" s="96" t="n">
        <x:v>100</x:v>
      </x:c>
      <x:c r="F37" s="96" t="n">
        <x:v>5</x:v>
      </x:c>
      <x:c r="G37" s="96" t="str">
        <x:v>automationMultiplier</x:v>
      </x:c>
      <x:c r="H37" s="97" t="n">
        <x:v>0.2</x:v>
      </x:c>
      <x:c r="I37" s="100" t="str"/>
      <x:c r="J37" s="98" t="n">
        <x:v>1.3</x:v>
      </x:c>
      <x:c r="K37" s="99" t="n">
        <x:v>6500</x:v>
      </x:c>
      <x:c r="L37" s="99" t="n">
        <x:f>IF(1&lt;=$F37,ROUND($K37*($J37^(1-1))*(1+'Dashboard'!$E$6*'Dashboard'!$E$7),0),"")</x:f>
        <x:v>6500</x:v>
      </x:c>
      <x:c r="M37" s="99" t="n">
        <x:f>IF(2&lt;=$F37,ROUND($K37*($J37^(2-1))*(1+'Dashboard'!$E$6*'Dashboard'!$E$7),0),"")</x:f>
        <x:v>8450</x:v>
      </x:c>
      <x:c r="N37" s="99" t="n">
        <x:f>IF(3&lt;=$F37,ROUND($K37*($J37^(3-1))*(1+'Dashboard'!$E$6*'Dashboard'!$E$7),0),"")</x:f>
        <x:v>10985</x:v>
      </x:c>
      <x:c r="O37" s="99" t="n">
        <x:f>IF(4&lt;=$F37,ROUND($K37*($J37^(4-1))*(1+'Dashboard'!$E$6*'Dashboard'!$E$7),0),"")</x:f>
        <x:v>14281</x:v>
      </x:c>
      <x:c r="P37" s="99" t="n">
        <x:f>IF(5&lt;=$F37,ROUND($K37*($J37^(5-1))*(1+'Dashboard'!$E$6*'Dashboard'!$E$7),0),"")</x:f>
        <x:v>18565</x:v>
      </x:c>
      <x:c r="Q37" s="99" t="n">
        <x:f>SUM(L37:P37)</x:f>
        <x:v>58781</x:v>
      </x:c>
      <x:c r="R37" s="99" t="n">
        <x:f>SUMIF($A$5:A37,A37,$Q$5:Q37)</x:f>
        <x:v>143787</x:v>
      </x:c>
      <x:c r="S37" s="97" t="n">
        <x:f>H37*F37</x:f>
        <x:v>1</x:v>
      </x:c>
      <x:c r="T37" s="96" t="str">
        <x:v>B</x:v>
      </x:c>
      <x:c r="U37" s="100" t="str">
        <x:v>+100% automazione è trasversale, ma il nodo arriva dopo €85k già spesi nel ramo.</x:v>
      </x:c>
      <x:c r="V37" s="100" t="str">
        <x:v>Potenzia scrittura, Social e riparazioni.</x:v>
      </x:c>
      <x:c r="W37" s="96" t="str">
        <x:v>src/content/upgrades.ts</x:v>
      </x:c>
    </x:row>
    <x:row r="38" ht="52" customHeight="1">
      <x:c r="A38" s="96" t="str">
        <x:v>Attrezzatura</x:v>
      </x:c>
      <x:c r="B38" s="96" t="n">
        <x:v>1</x:v>
      </x:c>
      <x:c r="C38" s="96" t="str">
        <x:v>pre-event-check</x:v>
      </x:c>
      <x:c r="D38" s="96" t="str">
        <x:v>Controllo pre-evento</x:v>
      </x:c>
      <x:c r="E38" s="96" t="n">
        <x:v>5</x:v>
      </x:c>
      <x:c r="F38" s="96" t="n">
        <x:v>5</x:v>
      </x:c>
      <x:c r="G38" s="96" t="str">
        <x:v>equipmentWearReduction</x:v>
      </x:c>
      <x:c r="H38" s="97" t="n">
        <x:v>0.05</x:v>
      </x:c>
      <x:c r="I38" s="100" t="str"/>
      <x:c r="J38" s="98" t="n">
        <x:v>1.3</x:v>
      </x:c>
      <x:c r="K38" s="99" t="n">
        <x:v>150</x:v>
      </x:c>
      <x:c r="L38" s="99" t="n">
        <x:f>IF(1&lt;=$F38,ROUND($K38*($J38^(1-1))*(1+'Dashboard'!$E$6*'Dashboard'!$E$7),0),"")</x:f>
        <x:v>150</x:v>
      </x:c>
      <x:c r="M38" s="99" t="n">
        <x:f>IF(2&lt;=$F38,ROUND($K38*($J38^(2-1))*(1+'Dashboard'!$E$6*'Dashboard'!$E$7),0),"")</x:f>
        <x:v>195</x:v>
      </x:c>
      <x:c r="N38" s="99" t="n">
        <x:f>IF(3&lt;=$F38,ROUND($K38*($J38^(3-1))*(1+'Dashboard'!$E$6*'Dashboard'!$E$7),0),"")</x:f>
        <x:v>254</x:v>
      </x:c>
      <x:c r="O38" s="99" t="n">
        <x:f>IF(4&lt;=$F38,ROUND($K38*($J38^(4-1))*(1+'Dashboard'!$E$6*'Dashboard'!$E$7),0),"")</x:f>
        <x:v>330</x:v>
      </x:c>
      <x:c r="P38" s="99" t="n">
        <x:f>IF(5&lt;=$F38,ROUND($K38*($J38^(5-1))*(1+'Dashboard'!$E$6*'Dashboard'!$E$7),0),"")</x:f>
        <x:v>428</x:v>
      </x:c>
      <x:c r="Q38" s="99" t="n">
        <x:f>SUM(L38:P38)</x:f>
        <x:v>1357</x:v>
      </x:c>
      <x:c r="R38" s="99" t="n">
        <x:f>SUMIF($A$5:A38,A38,$Q$5:Q38)</x:f>
        <x:v>1357</x:v>
      </x:c>
      <x:c r="S38" s="97" t="n">
        <x:f>H38*F38</x:f>
        <x:v>0.25</x:v>
      </x:c>
      <x:c r="T38" s="96" t="str">
        <x:v>B</x:v>
      </x:c>
      <x:c r="U38" s="100" t="str">
        <x:v>Economico e utile; parte di un totale nominale che supera il cap effettivo.</x:v>
      </x:c>
      <x:c r="V38" s="100" t="str">
        <x:v>Riduzione applicata solo all'usura aggiunta dagli eventi; cap 80%.</x:v>
      </x:c>
      <x:c r="W38" s="96" t="str">
        <x:v>src/content/upgrades.ts</x:v>
      </x:c>
    </x:row>
    <x:row r="39" ht="52" customHeight="1">
      <x:c r="A39" s="96" t="str">
        <x:v>Attrezzatura</x:v>
      </x:c>
      <x:c r="B39" s="96" t="n">
        <x:v>2</x:v>
      </x:c>
      <x:c r="C39" s="96" t="str">
        <x:v>maintenance-kit</x:v>
      </x:c>
      <x:c r="D39" s="96" t="str">
        <x:v>Kit di manutenzione</x:v>
      </x:c>
      <x:c r="E39" s="96" t="n">
        <x:v>15</x:v>
      </x:c>
      <x:c r="F39" s="96" t="n">
        <x:v>5</x:v>
      </x:c>
      <x:c r="G39" s="96" t="str">
        <x:v>automationMultiplier</x:v>
      </x:c>
      <x:c r="H39" s="97" t="n">
        <x:v>0.15</x:v>
      </x:c>
      <x:c r="I39" s="100" t="str"/>
      <x:c r="J39" s="98" t="n">
        <x:v>1.3</x:v>
      </x:c>
      <x:c r="K39" s="99" t="n">
        <x:v>400</x:v>
      </x:c>
      <x:c r="L39" s="99" t="n">
        <x:f>IF(1&lt;=$F39,ROUND($K39*($J39^(1-1))*(1+'Dashboard'!$E$6*'Dashboard'!$E$7),0),"")</x:f>
        <x:v>400</x:v>
      </x:c>
      <x:c r="M39" s="99" t="n">
        <x:f>IF(2&lt;=$F39,ROUND($K39*($J39^(2-1))*(1+'Dashboard'!$E$6*'Dashboard'!$E$7),0),"")</x:f>
        <x:v>520</x:v>
      </x:c>
      <x:c r="N39" s="99" t="n">
        <x:f>IF(3&lt;=$F39,ROUND($K39*($J39^(3-1))*(1+'Dashboard'!$E$6*'Dashboard'!$E$7),0),"")</x:f>
        <x:v>676</x:v>
      </x:c>
      <x:c r="O39" s="99" t="n">
        <x:f>IF(4&lt;=$F39,ROUND($K39*($J39^(4-1))*(1+'Dashboard'!$E$6*'Dashboard'!$E$7),0),"")</x:f>
        <x:v>879</x:v>
      </x:c>
      <x:c r="P39" s="99" t="n">
        <x:f>IF(5&lt;=$F39,ROUND($K39*($J39^(5-1))*(1+'Dashboard'!$E$6*'Dashboard'!$E$7),0),"")</x:f>
        <x:v>1142</x:v>
      </x:c>
      <x:c r="Q39" s="99" t="n">
        <x:f>SUM(L39:P39)</x:f>
        <x:v>3617</x:v>
      </x:c>
      <x:c r="R39" s="99" t="n">
        <x:f>SUMIF($A$5:A39,A39,$Q$5:Q39)</x:f>
        <x:v>4974</x:v>
      </x:c>
      <x:c r="S39" s="97" t="n">
        <x:f>H39*F39</x:f>
        <x:v>0.75</x:v>
      </x:c>
      <x:c r="T39" s="96" t="str">
        <x:v>A</x:v>
      </x:c>
      <x:c r="U39" s="100" t="str">
        <x:v>Forte upgrade trasversale mascherato da manutenzione; ottimo rapporto costo/resa.</x:v>
      </x:c>
      <x:c r="V39" s="100" t="str">
        <x:v>Potenzia anche scrittura e Social.</x:v>
      </x:c>
      <x:c r="W39" s="96" t="str">
        <x:v>src/content/upgrades.ts</x:v>
      </x:c>
    </x:row>
    <x:row r="40" ht="52" customHeight="1">
      <x:c r="A40" s="96" t="str">
        <x:v>Attrezzatura</x:v>
      </x:c>
      <x:c r="B40" s="96" t="n">
        <x:v>3</x:v>
      </x:c>
      <x:c r="C40" s="96" t="str">
        <x:v>organized-rack</x:v>
      </x:c>
      <x:c r="D40" s="96" t="str">
        <x:v>Rastrelliera ordinata</x:v>
      </x:c>
      <x:c r="E40" s="96" t="n">
        <x:v>20</x:v>
      </x:c>
      <x:c r="F40" s="96" t="n">
        <x:v>5</x:v>
      </x:c>
      <x:c r="G40" s="96" t="str">
        <x:v>totalSwords</x:v>
      </x:c>
      <x:c r="H40" s="97" t="n">
        <x:v>2</x:v>
      </x:c>
      <x:c r="I40" s="100" t="str"/>
      <x:c r="J40" s="98" t="n">
        <x:v>1.3</x:v>
      </x:c>
      <x:c r="K40" s="99" t="n">
        <x:v>750</x:v>
      </x:c>
      <x:c r="L40" s="99" t="n">
        <x:f>IF(1&lt;=$F40,ROUND($K40*($J40^(1-1))*(1+'Dashboard'!$E$6*'Dashboard'!$E$7),0),"")</x:f>
        <x:v>750</x:v>
      </x:c>
      <x:c r="M40" s="99" t="n">
        <x:f>IF(2&lt;=$F40,ROUND($K40*($J40^(2-1))*(1+'Dashboard'!$E$6*'Dashboard'!$E$7),0),"")</x:f>
        <x:v>975</x:v>
      </x:c>
      <x:c r="N40" s="99" t="n">
        <x:f>IF(3&lt;=$F40,ROUND($K40*($J40^(3-1))*(1+'Dashboard'!$E$6*'Dashboard'!$E$7),0),"")</x:f>
        <x:v>1268</x:v>
      </x:c>
      <x:c r="O40" s="99" t="n">
        <x:f>IF(4&lt;=$F40,ROUND($K40*($J40^(4-1))*(1+'Dashboard'!$E$6*'Dashboard'!$E$7),0),"")</x:f>
        <x:v>1648</x:v>
      </x:c>
      <x:c r="P40" s="99" t="n">
        <x:f>IF(5&lt;=$F40,ROUND($K40*($J40^(5-1))*(1+'Dashboard'!$E$6*'Dashboard'!$E$7),0),"")</x:f>
        <x:v>2142</x:v>
      </x:c>
      <x:c r="Q40" s="99" t="n">
        <x:f>SUM(L40:P40)</x:f>
        <x:v>6783</x:v>
      </x:c>
      <x:c r="R40" s="99" t="n">
        <x:f>SUMIF($A$5:A40,A40,$Q$5:Q40)</x:f>
        <x:v>11757</x:v>
      </x:c>
      <x:c r="S40" s="97" t="n">
        <x:f>H40*F40</x:f>
        <x:v>10</x:v>
      </x:c>
      <x:c r="T40" s="96" t="str">
        <x:v>D</x:v>
      </x:c>
      <x:c r="U40" s="100" t="str">
        <x:v>Il primo livello costa €375 per spada contro €330 della spada ufficiale, poi peggiora; è economicamente dominato.</x:v>
      </x:c>
      <x:c r="V40" s="100" t="str">
        <x:v>Aggiunge subito spade totali e disponibili.</x:v>
      </x:c>
      <x:c r="W40" s="96" t="str">
        <x:v>src/content/upgrades.ts</x:v>
      </x:c>
    </x:row>
    <x:row r="41" ht="52" customHeight="1">
      <x:c r="A41" s="96" t="str">
        <x:v>Attrezzatura</x:v>
      </x:c>
      <x:c r="B41" s="96" t="n">
        <x:v>4</x:v>
      </x:c>
      <x:c r="C41" s="96" t="str">
        <x:v>essential-parts</x:v>
      </x:c>
      <x:c r="D41" s="96" t="str">
        <x:v>Ricambi essenziali</x:v>
      </x:c>
      <x:c r="E41" s="96" t="n">
        <x:v>35</x:v>
      </x:c>
      <x:c r="F41" s="96" t="n">
        <x:v>5</x:v>
      </x:c>
      <x:c r="G41" s="96" t="str">
        <x:v>equipmentWearReduction</x:v>
      </x:c>
      <x:c r="H41" s="97" t="n">
        <x:v>0.05</x:v>
      </x:c>
      <x:c r="I41" s="100" t="str"/>
      <x:c r="J41" s="98" t="n">
        <x:v>1.3</x:v>
      </x:c>
      <x:c r="K41" s="99" t="n">
        <x:v>1300</x:v>
      </x:c>
      <x:c r="L41" s="99" t="n">
        <x:f>IF(1&lt;=$F41,ROUND($K41*($J41^(1-1))*(1+'Dashboard'!$E$6*'Dashboard'!$E$7),0),"")</x:f>
        <x:v>1300</x:v>
      </x:c>
      <x:c r="M41" s="99" t="n">
        <x:f>IF(2&lt;=$F41,ROUND($K41*($J41^(2-1))*(1+'Dashboard'!$E$6*'Dashboard'!$E$7),0),"")</x:f>
        <x:v>1690</x:v>
      </x:c>
      <x:c r="N41" s="99" t="n">
        <x:f>IF(3&lt;=$F41,ROUND($K41*($J41^(3-1))*(1+'Dashboard'!$E$6*'Dashboard'!$E$7),0),"")</x:f>
        <x:v>2197</x:v>
      </x:c>
      <x:c r="O41" s="99" t="n">
        <x:f>IF(4&lt;=$F41,ROUND($K41*($J41^(4-1))*(1+'Dashboard'!$E$6*'Dashboard'!$E$7),0),"")</x:f>
        <x:v>2856</x:v>
      </x:c>
      <x:c r="P41" s="99" t="n">
        <x:f>IF(5&lt;=$F41,ROUND($K41*($J41^(5-1))*(1+'Dashboard'!$E$6*'Dashboard'!$E$7),0),"")</x:f>
        <x:v>3713</x:v>
      </x:c>
      <x:c r="Q41" s="99" t="n">
        <x:f>SUM(L41:P41)</x:f>
        <x:v>11756</x:v>
      </x:c>
      <x:c r="R41" s="99" t="n">
        <x:f>SUMIF($A$5:A41,A41,$Q$5:Q41)</x:f>
        <x:v>23513</x:v>
      </x:c>
      <x:c r="S41" s="97" t="n">
        <x:f>H41*F41</x:f>
        <x:v>0.25</x:v>
      </x:c>
      <x:c r="T41" s="96" t="str">
        <x:v>C</x:v>
      </x:c>
      <x:c r="U41" s="100" t="str">
        <x:v>Replica il primo nodo con costo molto maggiore e contribuisce al superamento del cap.</x:v>
      </x:c>
      <x:c r="V41" s="100" t="str">
        <x:v>Cap globale 80%.</x:v>
      </x:c>
      <x:c r="W41" s="96" t="str">
        <x:v>src/content/upgrades.ts</x:v>
      </x:c>
    </x:row>
    <x:row r="42" ht="52" customHeight="1">
      <x:c r="A42" s="96" t="str">
        <x:v>Attrezzatura</x:v>
      </x:c>
      <x:c r="B42" s="96" t="n">
        <x:v>5</x:v>
      </x:c>
      <x:c r="C42" s="96" t="str">
        <x:v>demo-set</x:v>
      </x:c>
      <x:c r="D42" s="96" t="str">
        <x:v>Set da dimostrazione</x:v>
      </x:c>
      <x:c r="E42" s="96" t="n">
        <x:v>50</x:v>
      </x:c>
      <x:c r="F42" s="96" t="n">
        <x:v>5</x:v>
      </x:c>
      <x:c r="G42" s="96" t="str">
        <x:v>eventAttendanceMultiplier</x:v>
      </x:c>
      <x:c r="H42" s="97" t="n">
        <x:v>0.15</x:v>
      </x:c>
      <x:c r="I42" s="100" t="str"/>
      <x:c r="J42" s="98" t="n">
        <x:v>1.3</x:v>
      </x:c>
      <x:c r="K42" s="99" t="n">
        <x:v>2500</x:v>
      </x:c>
      <x:c r="L42" s="99" t="n">
        <x:f>IF(1&lt;=$F42,ROUND($K42*($J42^(1-1))*(1+'Dashboard'!$E$6*'Dashboard'!$E$7),0),"")</x:f>
        <x:v>2500</x:v>
      </x:c>
      <x:c r="M42" s="99" t="n">
        <x:f>IF(2&lt;=$F42,ROUND($K42*($J42^(2-1))*(1+'Dashboard'!$E$6*'Dashboard'!$E$7),0),"")</x:f>
        <x:v>3250</x:v>
      </x:c>
      <x:c r="N42" s="99" t="n">
        <x:f>IF(3&lt;=$F42,ROUND($K42*($J42^(3-1))*(1+'Dashboard'!$E$6*'Dashboard'!$E$7),0),"")</x:f>
        <x:v>4225</x:v>
      </x:c>
      <x:c r="O42" s="99" t="n">
        <x:f>IF(4&lt;=$F42,ROUND($K42*($J42^(4-1))*(1+'Dashboard'!$E$6*'Dashboard'!$E$7),0),"")</x:f>
        <x:v>5493</x:v>
      </x:c>
      <x:c r="P42" s="99" t="n">
        <x:f>IF(5&lt;=$F42,ROUND($K42*($J42^(5-1))*(1+'Dashboard'!$E$6*'Dashboard'!$E$7),0),"")</x:f>
        <x:v>7140</x:v>
      </x:c>
      <x:c r="Q42" s="99" t="n">
        <x:f>SUM(L42:P42)</x:f>
        <x:v>22608</x:v>
      </x:c>
      <x:c r="R42" s="99" t="n">
        <x:f>SUMIF($A$5:A42,A42,$Q$5:Q42)</x:f>
        <x:v>46121</x:v>
      </x:c>
      <x:c r="S42" s="97" t="n">
        <x:f>H42*F42</x:f>
        <x:v>0.75</x:v>
      </x:c>
      <x:c r="T42" s="96" t="str">
        <x:v>B</x:v>
      </x:c>
      <x:c r="U42" s="100" t="str">
        <x:v>Effetto utile ma costoso; buona sinergia con Carisma e grandi eventi.</x:v>
      </x:c>
      <x:c r="V42" s="100" t="str">
        <x:v>Somma additiva nel moltiplicatore presenze.</x:v>
      </x:c>
      <x:c r="W42" s="96" t="str">
        <x:v>src/content/upgrades.ts</x:v>
      </x:c>
    </x:row>
    <x:row r="43" ht="52" customHeight="1">
      <x:c r="A43" s="96" t="str">
        <x:v>Attrezzatura</x:v>
      </x:c>
      <x:c r="B43" s="96" t="n">
        <x:v>6</x:v>
      </x:c>
      <x:c r="C43" s="96" t="str">
        <x:v>equipment-register</x:v>
      </x:c>
      <x:c r="D43" s="96" t="str">
        <x:v>Registro dell'attrezzatura</x:v>
      </x:c>
      <x:c r="E43" s="96" t="n">
        <x:v>70</x:v>
      </x:c>
      <x:c r="F43" s="96" t="n">
        <x:v>5</x:v>
      </x:c>
      <x:c r="G43" s="96" t="str">
        <x:v>automationMultiplier</x:v>
      </x:c>
      <x:c r="H43" s="97" t="n">
        <x:v>0.2</x:v>
      </x:c>
      <x:c r="I43" s="100" t="str"/>
      <x:c r="J43" s="98" t="n">
        <x:v>1.3</x:v>
      </x:c>
      <x:c r="K43" s="99" t="n">
        <x:v>4000</x:v>
      </x:c>
      <x:c r="L43" s="99" t="n">
        <x:f>IF(1&lt;=$F43,ROUND($K43*($J43^(1-1))*(1+'Dashboard'!$E$6*'Dashboard'!$E$7),0),"")</x:f>
        <x:v>4000</x:v>
      </x:c>
      <x:c r="M43" s="99" t="n">
        <x:f>IF(2&lt;=$F43,ROUND($K43*($J43^(2-1))*(1+'Dashboard'!$E$6*'Dashboard'!$E$7),0),"")</x:f>
        <x:v>5200</x:v>
      </x:c>
      <x:c r="N43" s="99" t="n">
        <x:f>IF(3&lt;=$F43,ROUND($K43*($J43^(3-1))*(1+'Dashboard'!$E$6*'Dashboard'!$E$7),0),"")</x:f>
        <x:v>6760</x:v>
      </x:c>
      <x:c r="O43" s="99" t="n">
        <x:f>IF(4&lt;=$F43,ROUND($K43*($J43^(4-1))*(1+'Dashboard'!$E$6*'Dashboard'!$E$7),0),"")</x:f>
        <x:v>8788</x:v>
      </x:c>
      <x:c r="P43" s="99" t="n">
        <x:f>IF(5&lt;=$F43,ROUND($K43*($J43^(5-1))*(1+'Dashboard'!$E$6*'Dashboard'!$E$7),0),"")</x:f>
        <x:v>11424</x:v>
      </x:c>
      <x:c r="Q43" s="99" t="n">
        <x:f>SUM(L43:P43)</x:f>
        <x:v>36172</x:v>
      </x:c>
      <x:c r="R43" s="99" t="n">
        <x:f>SUMIF($A$5:A43,A43,$Q$5:Q43)</x:f>
        <x:v>82293</x:v>
      </x:c>
      <x:c r="S43" s="97" t="n">
        <x:f>H43*F43</x:f>
        <x:v>1</x:v>
      </x:c>
      <x:c r="T43" s="96" t="str">
        <x:v>B</x:v>
      </x:c>
      <x:c r="U43" s="100" t="str">
        <x:v>Bonus ampio e forte; il tema è meno leggibile perché potenzia tre sistemi.</x:v>
      </x:c>
      <x:c r="V43" s="100" t="str">
        <x:v>Potenzia scrittura, Social e riparazioni.</x:v>
      </x:c>
      <x:c r="W43" s="96" t="str">
        <x:v>src/content/upgrades.ts</x:v>
      </x:c>
    </x:row>
    <x:row r="44" ht="52" customHeight="1">
      <x:c r="A44" s="96" t="str">
        <x:v>Attrezzatura</x:v>
      </x:c>
      <x:c r="B44" s="96" t="n">
        <x:v>7</x:v>
      </x:c>
      <x:c r="C44" s="96" t="str">
        <x:v>all-fixed</x:v>
      </x:c>
      <x:c r="D44" s="96" t="str">
        <x:v>Le abbiamo messe a posto tutte</x:v>
      </x:c>
      <x:c r="E44" s="96" t="n">
        <x:v>100</x:v>
      </x:c>
      <x:c r="F44" s="96" t="n">
        <x:v>5</x:v>
      </x:c>
      <x:c r="G44" s="96" t="str">
        <x:v>equipmentWearReduction</x:v>
      </x:c>
      <x:c r="H44" s="97" t="n">
        <x:v>0.1</x:v>
      </x:c>
      <x:c r="I44" s="100" t="str"/>
      <x:c r="J44" s="98" t="n">
        <x:v>1.3</x:v>
      </x:c>
      <x:c r="K44" s="99" t="n">
        <x:v>6500</x:v>
      </x:c>
      <x:c r="L44" s="99" t="n">
        <x:f>IF(1&lt;=$F44,ROUND($K44*($J44^(1-1))*(1+'Dashboard'!$E$6*'Dashboard'!$E$7),0),"")</x:f>
        <x:v>6500</x:v>
      </x:c>
      <x:c r="M44" s="99" t="n">
        <x:f>IF(2&lt;=$F44,ROUND($K44*($J44^(2-1))*(1+'Dashboard'!$E$6*'Dashboard'!$E$7),0),"")</x:f>
        <x:v>8450</x:v>
      </x:c>
      <x:c r="N44" s="99" t="n">
        <x:f>IF(3&lt;=$F44,ROUND($K44*($J44^(3-1))*(1+'Dashboard'!$E$6*'Dashboard'!$E$7),0),"")</x:f>
        <x:v>10985</x:v>
      </x:c>
      <x:c r="O44" s="99" t="n">
        <x:f>IF(4&lt;=$F44,ROUND($K44*($J44^(4-1))*(1+'Dashboard'!$E$6*'Dashboard'!$E$7),0),"")</x:f>
        <x:v>14281</x:v>
      </x:c>
      <x:c r="P44" s="99" t="n">
        <x:f>IF(5&lt;=$F44,ROUND($K44*($J44^(5-1))*(1+'Dashboard'!$E$6*'Dashboard'!$E$7),0),"")</x:f>
        <x:v>18565</x:v>
      </x:c>
      <x:c r="Q44" s="99" t="n">
        <x:f>SUM(L44:P44)</x:f>
        <x:v>58781</x:v>
      </x:c>
      <x:c r="R44" s="99" t="n">
        <x:f>SUMIF($A$5:A44,A44,$Q$5:Q44)</x:f>
        <x:v>141074</x:v>
      </x:c>
      <x:c r="S44" s="97" t="n">
        <x:f>H44*F44</x:f>
        <x:v>0.5</x:v>
      </x:c>
      <x:c r="T44" s="96" t="str">
        <x:v>D</x:v>
      </x:c>
      <x:c r="U44" s="100" t="str">
        <x:v>Il catalogo arriva a 125% riduzione ma il cap è 80%: vari livelli finali sono completamente inerti.</x:v>
      </x:c>
      <x:c r="V44" s="100" t="str">
        <x:v>Con gli altri bonus al massimo, solo parte del primo livello è utile.</x:v>
      </x:c>
      <x:c r="W44" s="96" t="str">
        <x:v>src/content/upgrades.ts</x:v>
      </x:c>
    </x:row>
    <x:row r="45" ht="52" customHeight="1">
      <x:c r="A45" s="96" t="str">
        <x:v>Organizzazione</x:v>
      </x:c>
      <x:c r="B45" s="96" t="n">
        <x:v>1</x:v>
      </x:c>
      <x:c r="C45" s="96" t="str">
        <x:v>shared-calendar</x:v>
      </x:c>
      <x:c r="D45" s="96" t="str">
        <x:v>Calendario condiviso</x:v>
      </x:c>
      <x:c r="E45" s="96" t="n">
        <x:v>10</x:v>
      </x:c>
      <x:c r="F45" s="96" t="n">
        <x:v>5</x:v>
      </x:c>
      <x:c r="G45" s="96" t="str">
        <x:v>automationMultiplier</x:v>
      </x:c>
      <x:c r="H45" s="97" t="n">
        <x:v>0.1</x:v>
      </x:c>
      <x:c r="I45" s="100" t="str"/>
      <x:c r="J45" s="98" t="n">
        <x:v>1.3</x:v>
      </x:c>
      <x:c r="K45" s="99" t="n">
        <x:v>250</x:v>
      </x:c>
      <x:c r="L45" s="99" t="n">
        <x:f>IF(1&lt;=$F45,ROUND($K45*($J45^(1-1))*(1+'Dashboard'!$E$6*'Dashboard'!$E$7),0),"")</x:f>
        <x:v>250</x:v>
      </x:c>
      <x:c r="M45" s="99" t="n">
        <x:f>IF(2&lt;=$F45,ROUND($K45*($J45^(2-1))*(1+'Dashboard'!$E$6*'Dashboard'!$E$7),0),"")</x:f>
        <x:v>325</x:v>
      </x:c>
      <x:c r="N45" s="99" t="n">
        <x:f>IF(3&lt;=$F45,ROUND($K45*($J45^(3-1))*(1+'Dashboard'!$E$6*'Dashboard'!$E$7),0),"")</x:f>
        <x:v>423</x:v>
      </x:c>
      <x:c r="O45" s="99" t="n">
        <x:f>IF(4&lt;=$F45,ROUND($K45*($J45^(4-1))*(1+'Dashboard'!$E$6*'Dashboard'!$E$7),0),"")</x:f>
        <x:v>549</x:v>
      </x:c>
      <x:c r="P45" s="99" t="n">
        <x:f>IF(5&lt;=$F45,ROUND($K45*($J45^(5-1))*(1+'Dashboard'!$E$6*'Dashboard'!$E$7),0),"")</x:f>
        <x:v>714</x:v>
      </x:c>
      <x:c r="Q45" s="99" t="n">
        <x:f>SUM(L45:P45)</x:f>
        <x:v>2261</x:v>
      </x:c>
      <x:c r="R45" s="99" t="n">
        <x:f>SUMIF($A$5:A45,A45,$Q$5:Q45)</x:f>
        <x:v>2261</x:v>
      </x:c>
      <x:c r="S45" s="97" t="n">
        <x:f>H45*F45</x:f>
        <x:v>0.5</x:v>
      </x:c>
      <x:c r="T45" s="96" t="str">
        <x:v>A</x:v>
      </x:c>
      <x:c r="U45" s="100" t="str">
        <x:v>Bonus trasversale molto economico; uno dei migliori primi acquisti.</x:v>
      </x:c>
      <x:c r="V45" s="100" t="str">
        <x:v>Potenzia scrittura, Social e riparazioni.</x:v>
      </x:c>
      <x:c r="W45" s="96" t="str">
        <x:v>src/content/upgrades.ts</x:v>
      </x:c>
    </x:row>
    <x:row r="46" ht="52" customHeight="1">
      <x:c r="A46" s="96" t="str">
        <x:v>Organizzazione</x:v>
      </x:c>
      <x:c r="B46" s="96" t="n">
        <x:v>2</x:v>
      </x:c>
      <x:c r="C46" s="96" t="str">
        <x:v>collaborator-shifts</x:v>
      </x:c>
      <x:c r="D46" s="96" t="str">
        <x:v>Turni dei collaboratori</x:v>
      </x:c>
      <x:c r="E46" s="96" t="n">
        <x:v>20</x:v>
      </x:c>
      <x:c r="F46" s="96" t="n">
        <x:v>5</x:v>
      </x:c>
      <x:c r="G46" s="96" t="str">
        <x:v>automationMultiplier</x:v>
      </x:c>
      <x:c r="H46" s="97" t="n">
        <x:v>0.15</x:v>
      </x:c>
      <x:c r="I46" s="100" t="str"/>
      <x:c r="J46" s="98" t="n">
        <x:v>1.3</x:v>
      </x:c>
      <x:c r="K46" s="99" t="n">
        <x:v>700</x:v>
      </x:c>
      <x:c r="L46" s="99" t="n">
        <x:f>IF(1&lt;=$F46,ROUND($K46*($J46^(1-1))*(1+'Dashboard'!$E$6*'Dashboard'!$E$7),0),"")</x:f>
        <x:v>700</x:v>
      </x:c>
      <x:c r="M46" s="99" t="n">
        <x:f>IF(2&lt;=$F46,ROUND($K46*($J46^(2-1))*(1+'Dashboard'!$E$6*'Dashboard'!$E$7),0),"")</x:f>
        <x:v>910</x:v>
      </x:c>
      <x:c r="N46" s="99" t="n">
        <x:f>IF(3&lt;=$F46,ROUND($K46*($J46^(3-1))*(1+'Dashboard'!$E$6*'Dashboard'!$E$7),0),"")</x:f>
        <x:v>1183</x:v>
      </x:c>
      <x:c r="O46" s="99" t="n">
        <x:f>IF(4&lt;=$F46,ROUND($K46*($J46^(4-1))*(1+'Dashboard'!$E$6*'Dashboard'!$E$7),0),"")</x:f>
        <x:v>1538</x:v>
      </x:c>
      <x:c r="P46" s="99" t="n">
        <x:f>IF(5&lt;=$F46,ROUND($K46*($J46^(5-1))*(1+'Dashboard'!$E$6*'Dashboard'!$E$7),0),"")</x:f>
        <x:v>1999</x:v>
      </x:c>
      <x:c r="Q46" s="99" t="n">
        <x:f>SUM(L46:P46)</x:f>
        <x:v>6330</x:v>
      </x:c>
      <x:c r="R46" s="99" t="n">
        <x:f>SUMIF($A$5:A46,A46,$Q$5:Q46)</x:f>
        <x:v>8591</x:v>
      </x:c>
      <x:c r="S46" s="97" t="n">
        <x:f>H46*F46</x:f>
        <x:v>0.75</x:v>
      </x:c>
      <x:c r="T46" s="96" t="str">
        <x:v>A</x:v>
      </x:c>
      <x:c r="U46" s="100" t="str">
        <x:v>Buona resa e forte sinergia con ogni collaboratore assegnato.</x:v>
      </x:c>
      <x:c r="V46" s="100" t="str">
        <x:v>Potenzia scrittura, Social e riparazioni.</x:v>
      </x:c>
      <x:c r="W46" s="96" t="str">
        <x:v>src/content/upgrades.ts</x:v>
      </x:c>
    </x:row>
    <x:row r="47" ht="52" customHeight="1">
      <x:c r="A47" s="96" t="str">
        <x:v>Organizzazione</x:v>
      </x:c>
      <x:c r="B47" s="96" t="n">
        <x:v>3</x:v>
      </x:c>
      <x:c r="C47" s="96" t="str">
        <x:v>checklist</x:v>
      </x:c>
      <x:c r="D47" s="96" t="str">
        <x:v>Lista di controllo</x:v>
      </x:c>
      <x:c r="E47" s="96" t="n">
        <x:v>35</x:v>
      </x:c>
      <x:c r="F47" s="96" t="n">
        <x:v>5</x:v>
      </x:c>
      <x:c r="G47" s="96" t="str">
        <x:v>equipmentWearReduction</x:v>
      </x:c>
      <x:c r="H47" s="97" t="n">
        <x:v>0.05</x:v>
      </x:c>
      <x:c r="I47" s="100" t="str"/>
      <x:c r="J47" s="98" t="n">
        <x:v>1.3</x:v>
      </x:c>
      <x:c r="K47" s="99" t="n">
        <x:v>1300</x:v>
      </x:c>
      <x:c r="L47" s="99" t="n">
        <x:f>IF(1&lt;=$F47,ROUND($K47*($J47^(1-1))*(1+'Dashboard'!$E$6*'Dashboard'!$E$7),0),"")</x:f>
        <x:v>1300</x:v>
      </x:c>
      <x:c r="M47" s="99" t="n">
        <x:f>IF(2&lt;=$F47,ROUND($K47*($J47^(2-1))*(1+'Dashboard'!$E$6*'Dashboard'!$E$7),0),"")</x:f>
        <x:v>1690</x:v>
      </x:c>
      <x:c r="N47" s="99" t="n">
        <x:f>IF(3&lt;=$F47,ROUND($K47*($J47^(3-1))*(1+'Dashboard'!$E$6*'Dashboard'!$E$7),0),"")</x:f>
        <x:v>2197</x:v>
      </x:c>
      <x:c r="O47" s="99" t="n">
        <x:f>IF(4&lt;=$F47,ROUND($K47*($J47^(4-1))*(1+'Dashboard'!$E$6*'Dashboard'!$E$7),0),"")</x:f>
        <x:v>2856</x:v>
      </x:c>
      <x:c r="P47" s="99" t="n">
        <x:f>IF(5&lt;=$F47,ROUND($K47*($J47^(5-1))*(1+'Dashboard'!$E$6*'Dashboard'!$E$7),0),"")</x:f>
        <x:v>3713</x:v>
      </x:c>
      <x:c r="Q47" s="99" t="n">
        <x:f>SUM(L47:P47)</x:f>
        <x:v>11756</x:v>
      </x:c>
      <x:c r="R47" s="99" t="n">
        <x:f>SUMIF($A$5:A47,A47,$Q$5:Q47)</x:f>
        <x:v>20347</x:v>
      </x:c>
      <x:c r="S47" s="97" t="n">
        <x:f>H47*F47</x:f>
        <x:v>0.25</x:v>
      </x:c>
      <x:c r="T47" s="96" t="str">
        <x:v>C</x:v>
      </x:c>
      <x:c r="U47" s="100" t="str">
        <x:v>Terza fonte equivalente di riduzione usura; accelera il raggiungimento del cap 80%.</x:v>
      </x:c>
      <x:c r="V47" s="100" t="str">
        <x:v>Interagisce con i bonus Attrezzatura.</x:v>
      </x:c>
      <x:c r="W47" s="96" t="str">
        <x:v>src/content/upgrades.ts</x:v>
      </x:c>
    </x:row>
    <x:row r="48" ht="52" customHeight="1">
      <x:c r="A48" s="96" t="str">
        <x:v>Organizzazione</x:v>
      </x:c>
      <x:c r="B48" s="96" t="n">
        <x:v>4</x:v>
      </x:c>
      <x:c r="C48" s="96" t="str">
        <x:v>registration-form</x:v>
      </x:c>
      <x:c r="D48" s="96" t="str">
        <x:v>Modulo di iscrizione</x:v>
      </x:c>
      <x:c r="E48" s="96" t="n">
        <x:v>50</x:v>
      </x:c>
      <x:c r="F48" s="96" t="n">
        <x:v>5</x:v>
      </x:c>
      <x:c r="G48" s="96" t="str">
        <x:v>incomeMultiplier</x:v>
      </x:c>
      <x:c r="H48" s="97" t="n">
        <x:v>0.1</x:v>
      </x:c>
      <x:c r="I48" s="100" t="str"/>
      <x:c r="J48" s="98" t="n">
        <x:v>1.3</x:v>
      </x:c>
      <x:c r="K48" s="99" t="n">
        <x:v>2500</x:v>
      </x:c>
      <x:c r="L48" s="99" t="n">
        <x:f>IF(1&lt;=$F48,ROUND($K48*($J48^(1-1))*(1+'Dashboard'!$E$6*'Dashboard'!$E$7),0),"")</x:f>
        <x:v>2500</x:v>
      </x:c>
      <x:c r="M48" s="99" t="n">
        <x:f>IF(2&lt;=$F48,ROUND($K48*($J48^(2-1))*(1+'Dashboard'!$E$6*'Dashboard'!$E$7),0),"")</x:f>
        <x:v>3250</x:v>
      </x:c>
      <x:c r="N48" s="99" t="n">
        <x:f>IF(3&lt;=$F48,ROUND($K48*($J48^(3-1))*(1+'Dashboard'!$E$6*'Dashboard'!$E$7),0),"")</x:f>
        <x:v>4225</x:v>
      </x:c>
      <x:c r="O48" s="99" t="n">
        <x:f>IF(4&lt;=$F48,ROUND($K48*($J48^(4-1))*(1+'Dashboard'!$E$6*'Dashboard'!$E$7),0),"")</x:f>
        <x:v>5493</x:v>
      </x:c>
      <x:c r="P48" s="99" t="n">
        <x:f>IF(5&lt;=$F48,ROUND($K48*($J48^(5-1))*(1+'Dashboard'!$E$6*'Dashboard'!$E$7),0),"")</x:f>
        <x:v>7140</x:v>
      </x:c>
      <x:c r="Q48" s="99" t="n">
        <x:f>SUM(L48:P48)</x:f>
        <x:v>22608</x:v>
      </x:c>
      <x:c r="R48" s="99" t="n">
        <x:f>SUMIF($A$5:A48,A48,$Q$5:Q48)</x:f>
        <x:v>42955</x:v>
      </x:c>
      <x:c r="S48" s="97" t="n">
        <x:f>H48*F48</x:f>
        <x:v>0.5</x:v>
      </x:c>
      <x:c r="T48" s="96" t="str">
        <x:v>B</x:v>
      </x:c>
      <x:c r="U48" s="100" t="str">
        <x:v>Ritorno facile da leggere; serve massa di iscritti per ripagarsi rapidamente.</x:v>
      </x:c>
      <x:c r="V48" s="100" t="str">
        <x:v>Moltiplica quote e reddito rete prima del bonus rete.</x:v>
      </x:c>
      <x:c r="W48" s="96" t="str">
        <x:v>src/content/upgrades.ts</x:v>
      </x:c>
    </x:row>
    <x:row r="49" ht="52" customHeight="1">
      <x:c r="A49" s="96" t="str">
        <x:v>Organizzazione</x:v>
      </x:c>
      <x:c r="B49" s="96" t="n">
        <x:v>5</x:v>
      </x:c>
      <x:c r="C49" s="96" t="str">
        <x:v>order-secretariat</x:v>
      </x:c>
      <x:c r="D49" s="96" t="str">
        <x:v>Segreteria dell'Ordine</x:v>
      </x:c>
      <x:c r="E49" s="96" t="n">
        <x:v>75</x:v>
      </x:c>
      <x:c r="F49" s="96" t="n">
        <x:v>5</x:v>
      </x:c>
      <x:c r="G49" s="96" t="str">
        <x:v>incomeMultiplier</x:v>
      </x:c>
      <x:c r="H49" s="97" t="n">
        <x:v>0.2</x:v>
      </x:c>
      <x:c r="I49" s="100" t="str"/>
      <x:c r="J49" s="98" t="n">
        <x:v>1.3</x:v>
      </x:c>
      <x:c r="K49" s="99" t="n">
        <x:v>4000</x:v>
      </x:c>
      <x:c r="L49" s="99" t="n">
        <x:f>IF(1&lt;=$F49,ROUND($K49*($J49^(1-1))*(1+'Dashboard'!$E$6*'Dashboard'!$E$7),0),"")</x:f>
        <x:v>4000</x:v>
      </x:c>
      <x:c r="M49" s="99" t="n">
        <x:f>IF(2&lt;=$F49,ROUND($K49*($J49^(2-1))*(1+'Dashboard'!$E$6*'Dashboard'!$E$7),0),"")</x:f>
        <x:v>5200</x:v>
      </x:c>
      <x:c r="N49" s="99" t="n">
        <x:f>IF(3&lt;=$F49,ROUND($K49*($J49^(3-1))*(1+'Dashboard'!$E$6*'Dashboard'!$E$7),0),"")</x:f>
        <x:v>6760</x:v>
      </x:c>
      <x:c r="O49" s="99" t="n">
        <x:f>IF(4&lt;=$F49,ROUND($K49*($J49^(4-1))*(1+'Dashboard'!$E$6*'Dashboard'!$E$7),0),"")</x:f>
        <x:v>8788</x:v>
      </x:c>
      <x:c r="P49" s="99" t="n">
        <x:f>IF(5&lt;=$F49,ROUND($K49*($J49^(5-1))*(1+'Dashboard'!$E$6*'Dashboard'!$E$7),0),"")</x:f>
        <x:v>11424</x:v>
      </x:c>
      <x:c r="Q49" s="99" t="n">
        <x:f>SUM(L49:P49)</x:f>
        <x:v>36172</x:v>
      </x:c>
      <x:c r="R49" s="99" t="n">
        <x:f>SUMIF($A$5:A49,A49,$Q$5:Q49)</x:f>
        <x:v>79127</x:v>
      </x:c>
      <x:c r="S49" s="97" t="n">
        <x:f>H49*F49</x:f>
        <x:v>1</x:v>
      </x:c>
      <x:c r="T49" s="96" t="str">
        <x:v>A</x:v>
      </x:c>
      <x:c r="U49" s="100" t="str">
        <x:v>Forte acceleratore economico (+100% al massimo) con payoff misurabile.</x:v>
      </x:c>
      <x:c r="V49" s="100" t="str">
        <x:v>Moltiplica quote e reddito rete.</x:v>
      </x:c>
      <x:c r="W49" s="96" t="str">
        <x:v>src/content/upgrades.ts</x:v>
      </x:c>
    </x:row>
    <x:row r="50" ht="52" customHeight="1">
      <x:c r="A50" s="96" t="str">
        <x:v>Organizzazione</x:v>
      </x:c>
      <x:c r="B50" s="96" t="n">
        <x:v>6</x:v>
      </x:c>
      <x:c r="C50" s="96" t="str">
        <x:v>multi-site-coordination</x:v>
      </x:c>
      <x:c r="D50" s="96" t="str">
        <x:v>Coordinamento multi-sede</x:v>
      </x:c>
      <x:c r="E50" s="96" t="n">
        <x:v>100</x:v>
      </x:c>
      <x:c r="F50" s="96" t="n">
        <x:v>5</x:v>
      </x:c>
      <x:c r="G50" s="96" t="str">
        <x:v>automationMultiplier</x:v>
      </x:c>
      <x:c r="H50" s="97" t="n">
        <x:v>0.3</x:v>
      </x:c>
      <x:c r="I50" s="100" t="str"/>
      <x:c r="J50" s="98" t="n">
        <x:v>1.3</x:v>
      </x:c>
      <x:c r="K50" s="99" t="n">
        <x:v>6500</x:v>
      </x:c>
      <x:c r="L50" s="99" t="n">
        <x:f>IF(1&lt;=$F50,ROUND($K50*($J50^(1-1))*(1+'Dashboard'!$E$6*'Dashboard'!$E$7),0),"")</x:f>
        <x:v>6500</x:v>
      </x:c>
      <x:c r="M50" s="99" t="n">
        <x:f>IF(2&lt;=$F50,ROUND($K50*($J50^(2-1))*(1+'Dashboard'!$E$6*'Dashboard'!$E$7),0),"")</x:f>
        <x:v>8450</x:v>
      </x:c>
      <x:c r="N50" s="99" t="n">
        <x:f>IF(3&lt;=$F50,ROUND($K50*($J50^(3-1))*(1+'Dashboard'!$E$6*'Dashboard'!$E$7),0),"")</x:f>
        <x:v>10985</x:v>
      </x:c>
      <x:c r="O50" s="99" t="n">
        <x:f>IF(4&lt;=$F50,ROUND($K50*($J50^(4-1))*(1+'Dashboard'!$E$6*'Dashboard'!$E$7),0),"")</x:f>
        <x:v>14281</x:v>
      </x:c>
      <x:c r="P50" s="99" t="n">
        <x:f>IF(5&lt;=$F50,ROUND($K50*($J50^(5-1))*(1+'Dashboard'!$E$6*'Dashboard'!$E$7),0),"")</x:f>
        <x:v>18565</x:v>
      </x:c>
      <x:c r="Q50" s="99" t="n">
        <x:f>SUM(L50:P50)</x:f>
        <x:v>58781</x:v>
      </x:c>
      <x:c r="R50" s="99" t="n">
        <x:f>SUMIF($A$5:A50,A50,$Q$5:Q50)</x:f>
        <x:v>137908</x:v>
      </x:c>
      <x:c r="S50" s="97" t="n">
        <x:f>H50*F50</x:f>
        <x:v>1.5</x:v>
      </x:c>
      <x:c r="T50" s="96" t="str">
        <x:v>A</x:v>
      </x:c>
      <x:c r="U50" s="100" t="str">
        <x:v>Finale molto potente (+150% automazione); può amplificare troppo Social×Automazione.</x:v>
      </x:c>
      <x:c r="V50" s="100" t="str">
        <x:v>Potenzia scrittura, Social e riparazioni.</x:v>
      </x:c>
      <x:c r="W50" s="96" t="str">
        <x:v>src/content/upgrades.ts</x:v>
      </x:c>
    </x:row>
    <x:row r="51" ht="52" customHeight="1">
      <x:c r="A51" s="96" t="str">
        <x:v>Istruttori</x:v>
      </x:c>
      <x:c r="B51" s="96" t="n">
        <x:v>1</x:v>
      </x:c>
      <x:c r="C51" s="96" t="str">
        <x:v>extra-form</x:v>
      </x:c>
      <x:c r="D51" s="96" t="str">
        <x:v>Extra Forma</x:v>
      </x:c>
      <x:c r="E51" s="96" t="n">
        <x:v>50</x:v>
      </x:c>
      <x:c r="F51" s="96" t="n">
        <x:v>1</x:v>
      </x:c>
      <x:c r="G51" s="96" t="str">
        <x:v>annualFormCapacity</x:v>
      </x:c>
      <x:c r="H51" s="97" t="n">
        <x:v>1</x:v>
      </x:c>
      <x:c r="I51" s="100" t="str"/>
      <x:c r="J51" s="98" t="n">
        <x:v>1</x:v>
      </x:c>
      <x:c r="K51" s="99" t="n">
        <x:v>5000</x:v>
      </x:c>
      <x:c r="L51" s="99" t="n">
        <x:f>IF(1&lt;=$F51,ROUND($K51*($J51^(1-1))*(1+'Dashboard'!$E$6*'Dashboard'!$E$7),0),"")</x:f>
        <x:v>5000</x:v>
      </x:c>
      <x:c r="M51" s="99" t="str">
        <x:f>IF(2&lt;=$F51,ROUND($K51*($J51^(2-1))*(1+'Dashboard'!$E$6*'Dashboard'!$E$7),0),"")</x:f>
      </x:c>
      <x:c r="N51" s="99" t="str">
        <x:f>IF(3&lt;=$F51,ROUND($K51*($J51^(3-1))*(1+'Dashboard'!$E$6*'Dashboard'!$E$7),0),"")</x:f>
      </x:c>
      <x:c r="O51" s="99" t="str">
        <x:f>IF(4&lt;=$F51,ROUND($K51*($J51^(4-1))*(1+'Dashboard'!$E$6*'Dashboard'!$E$7),0),"")</x:f>
      </x:c>
      <x:c r="P51" s="99" t="str">
        <x:f>IF(5&lt;=$F51,ROUND($K51*($J51^(5-1))*(1+'Dashboard'!$E$6*'Dashboard'!$E$7),0),"")</x:f>
      </x:c>
      <x:c r="Q51" s="99" t="n">
        <x:f>SUM(L51:P51)</x:f>
        <x:v>5000</x:v>
      </x:c>
      <x:c r="R51" s="99" t="n">
        <x:f>SUMIF($A$5:A51,A51,$Q$5:Q51)</x:f>
        <x:v>5000</x:v>
      </x:c>
      <x:c r="S51" s="97" t="n">
        <x:f>H51*F51</x:f>
        <x:v>1</x:v>
      </x:c>
      <x:c r="T51" s="96" t="str">
        <x:v>A</x:v>
      </x:c>
      <x:c r="U51" s="100" t="str">
        <x:v>Trasformativo: raddoppia da 1 a 2 le Forme annue per atleta con un acquisto solo.</x:v>
      </x:c>
      <x:c r="V51" s="100" t="str">
        <x:v>Il gameplay legge direttamente l'ID, non somma l'effetto tipizzato.</x:v>
      </x:c>
      <x:c r="W51" s="96" t="str">
        <x:v>src/content/upgrades.ts</x:v>
      </x:c>
    </x:row>
    <x:row r="52" ht="52" customHeight="1">
      <x:c r="A52" s="96" t="str">
        <x:v>Istruttori</x:v>
      </x:c>
      <x:c r="B52" s="96" t="n">
        <x:v>2</x:v>
      </x:c>
      <x:c r="C52" s="96" t="str">
        <x:v>instructor-versatility</x:v>
      </x:c>
      <x:c r="D52" s="96" t="str">
        <x:v>Polivalenza didattica</x:v>
      </x:c>
      <x:c r="E52" s="96" t="n">
        <x:v>50</x:v>
      </x:c>
      <x:c r="F52" s="96" t="n">
        <x:v>2</x:v>
      </x:c>
      <x:c r="G52" s="96" t="str">
        <x:v>instructorBranchCapacity</x:v>
      </x:c>
      <x:c r="H52" s="97" t="n">
        <x:v>1</x:v>
      </x:c>
      <x:c r="I52" s="100" t="str"/>
      <x:c r="J52" s="98" t="n">
        <x:v>2</x:v>
      </x:c>
      <x:c r="K52" s="99" t="n">
        <x:v>6000</x:v>
      </x:c>
      <x:c r="L52" s="99" t="n">
        <x:f>IF(1&lt;=$F52,ROUND($K52*($J52^(1-1))*(1+'Dashboard'!$E$6*'Dashboard'!$E$7),0),"")</x:f>
        <x:v>6000</x:v>
      </x:c>
      <x:c r="M52" s="99" t="n">
        <x:f>IF(2&lt;=$F52,ROUND($K52*($J52^(2-1))*(1+'Dashboard'!$E$6*'Dashboard'!$E$7),0),"")</x:f>
        <x:v>12000</x:v>
      </x:c>
      <x:c r="N52" s="99" t="str">
        <x:f>IF(3&lt;=$F52,ROUND($K52*($J52^(3-1))*(1+'Dashboard'!$E$6*'Dashboard'!$E$7),0),"")</x:f>
      </x:c>
      <x:c r="O52" s="99" t="str">
        <x:f>IF(4&lt;=$F52,ROUND($K52*($J52^(4-1))*(1+'Dashboard'!$E$6*'Dashboard'!$E$7),0),"")</x:f>
      </x:c>
      <x:c r="P52" s="99" t="str">
        <x:f>IF(5&lt;=$F52,ROUND($K52*($J52^(5-1))*(1+'Dashboard'!$E$6*'Dashboard'!$E$7),0),"")</x:f>
      </x:c>
      <x:c r="Q52" s="99" t="n">
        <x:f>SUM(L52:P52)</x:f>
        <x:v>18000</x:v>
      </x:c>
      <x:c r="R52" s="99" t="n">
        <x:f>SUMIF($A$5:A52,A52,$Q$5:Q52)</x:f>
        <x:v>23000</x:v>
      </x:c>
      <x:c r="S52" s="97" t="n">
        <x:f>H52*F52</x:f>
        <x:v>2</x:v>
      </x:c>
      <x:c r="T52" s="96" t="str">
        <x:v>B</x:v>
      </x:c>
      <x:c r="U52" s="100" t="str">
        <x:v>Sblocca flessibilità reale (1→3 rami), ma è obbligatorio prima di Tiamat.</x:v>
      </x:c>
      <x:c r="V52" s="100" t="str">
        <x:v>Il gameplay legge direttamente l'ID.</x:v>
      </x:c>
      <x:c r="W52" s="96" t="str">
        <x:v>src/content/upgrades.ts</x:v>
      </x:c>
    </x:row>
    <x:row r="53" ht="52" customHeight="1">
      <x:c r="A53" s="96" t="str">
        <x:v>Istruttori</x:v>
      </x:c>
      <x:c r="B53" s="96" t="n">
        <x:v>3</x:v>
      </x:c>
      <x:c r="C53" s="96" t="str">
        <x:v>tiamat-instructor</x:v>
      </x:c>
      <x:c r="D53" s="96" t="str">
        <x:v>Istruttore stile Tiamat</x:v>
      </x:c>
      <x:c r="E53" s="96" t="n">
        <x:v>75</x:v>
      </x:c>
      <x:c r="F53" s="96" t="n">
        <x:v>5</x:v>
      </x:c>
      <x:c r="G53" s="96" t="str">
        <x:v>instructorStudentCapacity</x:v>
      </x:c>
      <x:c r="H53" s="97" t="n">
        <x:v>1</x:v>
      </x:c>
      <x:c r="I53" s="100" t="str"/>
      <x:c r="J53" s="98" t="n">
        <x:v>1.8</x:v>
      </x:c>
      <x:c r="K53" s="99" t="n">
        <x:v>10000</x:v>
      </x:c>
      <x:c r="L53" s="99" t="n">
        <x:f>IF(1&lt;=$F53,ROUND($K53*($J53^(1-1))*(1+'Dashboard'!$E$6*'Dashboard'!$E$7),0),"")</x:f>
        <x:v>10000</x:v>
      </x:c>
      <x:c r="M53" s="99" t="n">
        <x:f>IF(2&lt;=$F53,ROUND($K53*($J53^(2-1))*(1+'Dashboard'!$E$6*'Dashboard'!$E$7),0),"")</x:f>
        <x:v>18000</x:v>
      </x:c>
      <x:c r="N53" s="99" t="n">
        <x:f>IF(3&lt;=$F53,ROUND($K53*($J53^(3-1))*(1+'Dashboard'!$E$6*'Dashboard'!$E$7),0),"")</x:f>
        <x:v>32400</x:v>
      </x:c>
      <x:c r="O53" s="99" t="n">
        <x:f>IF(4&lt;=$F53,ROUND($K53*($J53^(4-1))*(1+'Dashboard'!$E$6*'Dashboard'!$E$7),0),"")</x:f>
        <x:v>58320</x:v>
      </x:c>
      <x:c r="P53" s="99" t="n">
        <x:f>IF(5&lt;=$F53,ROUND($K53*($J53^(5-1))*(1+'Dashboard'!$E$6*'Dashboard'!$E$7),0),"")</x:f>
        <x:v>104976</x:v>
      </x:c>
      <x:c r="Q53" s="99" t="n">
        <x:f>SUM(L53:P53)</x:f>
        <x:v>223696</x:v>
      </x:c>
      <x:c r="R53" s="99" t="n">
        <x:f>SUMIF($A$5:A53,A53,$Q$5:Q53)</x:f>
        <x:v>246696</x:v>
      </x:c>
      <x:c r="S53" s="97" t="n">
        <x:f>H53*F53</x:f>
        <x:v>5</x:v>
      </x:c>
      <x:c r="T53" s="96" t="str">
        <x:v>C</x:v>
      </x:c>
      <x:c r="U53" s="100" t="str">
        <x:v>Ogni livello dà lo stesso +1, ma l'ultimo costa €104.976; forte money sink più che scelta efficiente.</x:v>
      </x:c>
      <x:c r="V53" s="100" t="str">
        <x:v>Cap 6; il gameplay legge direttamente l'ID.</x:v>
      </x:c>
      <x:c r="W53" s="96" t="str">
        <x:v>src/content/upgrades.ts</x:v>
      </x:c>
    </x:row>
  </x:sheetData>
  <x:mergeCells>
    <x:mergeCell ref="A1:W2"/>
    <x:mergeCell ref="A3:W3"/>
  </x:mergeCells>
  <x:conditionalFormatting sqref="T5:T53">
    <x:cfRule type="containsText" dxfId="0" priority="1" operator="containsText" text="A"/>
    <x:cfRule type="containsText" dxfId="1" priority="2" operator="containsText" text="B"/>
    <x:cfRule type="containsText" dxfId="2" priority="3" operator="containsText" text="C"/>
    <x:cfRule type="containsText" dxfId="3" priority="4" operator="containsText" text="D"/>
  </x:conditionalFormatting>
  <x:conditionalFormatting sqref="Q5:Q53">
    <x:cfRule type="dataBar" priority="5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{BD0BE49D-2236-F334-8A26-AE76A4D98C33}</x14:id>
        </x:ext>
      </x:extLst>
    </x:cfRule>
  </x:conditionalFormatting>
  <x:dataValidations count="1">
    <x:dataValidation type="list" sqref="T5:T53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0ce59a15634e7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BD0BE49D-2236-F334-8A26-AE76A4D98C33}">
            <x14:dataBar gradient="1">
              <x14:cfvo type="min"/>
              <x14:cfvo type="max"/>
              <x14:fillColor rgb="FF5B9BD5"/>
            </x14:dataBar>
          </x14:cfRule>
          <xm:sqref>Q5:Q53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7" hidden="0" customWidth="1"/>
    <x:col min="3" max="3" width="18" hidden="0" customWidth="1"/>
    <x:col min="4" max="4" width="29" hidden="0" customWidth="1"/>
    <x:col min="5" max="5" width="34" hidden="0" customWidth="1"/>
    <x:col min="6" max="6" width="26" hidden="0" customWidth="1"/>
    <x:col min="7" max="7" width="13" hidden="0" customWidth="1"/>
    <x:col min="8" max="8" width="10" hidden="0" customWidth="1"/>
    <x:col min="9" max="9" width="10" hidden="0" customWidth="1"/>
    <x:col min="10" max="10" width="58" hidden="0" customWidth="1"/>
  </x:cols>
  <x:sheetData>
    <x:row r="1" ht="34" customHeight="1">
      <x:c r="A1" s="3" t="str">
        <x:v>Nuovi potenziamenti candidati</x:v>
      </x:c>
      <x:c r="B1" s="3" t="str">
        <x:v>Nuovi potenziamenti candidati</x:v>
      </x:c>
      <x:c r="C1" s="3" t="str">
        <x:v>Nuovi potenziamenti candidati</x:v>
      </x:c>
      <x:c r="D1" s="3" t="str">
        <x:v>Nuovi potenziamenti candidati</x:v>
      </x:c>
      <x:c r="E1" s="3" t="str">
        <x:v>Nuovi potenziamenti candidati</x:v>
      </x:c>
      <x:c r="F1" s="3" t="str">
        <x:v>Nuovi potenziamenti candidati</x:v>
      </x:c>
      <x:c r="G1" s="3" t="str">
        <x:v>Nuovi potenziamenti candidati</x:v>
      </x:c>
      <x:c r="H1" s="3" t="str">
        <x:v>Nuovi potenziamenti candidati</x:v>
      </x:c>
      <x:c r="I1" s="3" t="str">
        <x:v>Nuovi potenziamenti candidati</x:v>
      </x:c>
      <x:c r="J1" s="3" t="str">
        <x:v>Nuovi potenziamenti candidati</x:v>
      </x:c>
    </x:row>
    <x:row r="2">
      <x:c r="A2" s="3" t="str">
        <x:v>Nuovi potenziamenti candidati</x:v>
      </x:c>
      <x:c r="B2" s="3" t="str">
        <x:v>Nuovi potenziamenti candidati</x:v>
      </x:c>
      <x:c r="C2" s="3" t="str">
        <x:v>Nuovi potenziamenti candidati</x:v>
      </x:c>
      <x:c r="D2" s="3" t="str">
        <x:v>Nuovi potenziamenti candidati</x:v>
      </x:c>
      <x:c r="E2" s="3" t="str">
        <x:v>Nuovi potenziamenti candidati</x:v>
      </x:c>
      <x:c r="F2" s="3" t="str">
        <x:v>Nuovi potenziamenti candidati</x:v>
      </x:c>
      <x:c r="G2" s="3" t="str">
        <x:v>Nuovi potenziamenti candidati</x:v>
      </x:c>
      <x:c r="H2" s="3" t="str">
        <x:v>Nuovi potenziamenti candidati</x:v>
      </x:c>
      <x:c r="I2" s="3" t="str">
        <x:v>Nuovi potenziamenti candidati</x:v>
      </x:c>
      <x:c r="J2" s="3" t="str">
        <x:v>Nuovi potenziamenti candidati</x:v>
      </x:c>
    </x:row>
    <x:row r="3" ht="28" customHeight="1">
      <x:c r="A3" s="101" t="str">
        <x:v>Proposte non implementate. Priorità più sicura: sostituire duplicati/cap-sprechi prima di aumentare ancora i moltiplicatori globali.</x:v>
      </x:c>
      <x:c r="B3" s="101"/>
      <x:c r="C3" s="101"/>
      <x:c r="D3" s="101"/>
      <x:c r="E3" s="101"/>
      <x:c r="F3" s="101"/>
      <x:c r="G3" s="101"/>
      <x:c r="H3" s="101"/>
      <x:c r="I3" s="101"/>
      <x:c r="J3" s="101"/>
    </x:row>
    <x:row r="4" ht="34" customHeight="1">
      <x:c r="A4" s="89" t="str">
        <x:v>Priorità</x:v>
      </x:c>
      <x:c r="B4" s="89" t="str">
        <x:v>Nome</x:v>
      </x:c>
      <x:c r="C4" s="89" t="str">
        <x:v>Ramo</x:v>
      </x:c>
      <x:c r="D4" s="89" t="str">
        <x:v>Posizione</x:v>
      </x:c>
      <x:c r="E4" s="89" t="str">
        <x:v>Nuovo effetto</x:v>
      </x:c>
      <x:c r="F4" s="89" t="str">
        <x:v>Effetto suggerito</x:v>
      </x:c>
      <x:c r="G4" s="89" t="str">
        <x:v>Costo base</x:v>
      </x:c>
      <x:c r="H4" s="89" t="str">
        <x:v>Crescita</x:v>
      </x:c>
      <x:c r="I4" s="89" t="str">
        <x:v>Rischio</x:v>
      </x:c>
      <x:c r="J4" s="89" t="str">
        <x:v>Razionale / guardrail</x:v>
      </x:c>
    </x:row>
    <x:row r="5" ht="58" customHeight="1">
      <x:c r="A5" s="104" t="n">
        <x:v>1</x:v>
      </x:c>
      <x:c r="B5" s="104" t="str">
        <x:v>Programma di fidelizzazione</x:v>
      </x:c>
      <x:c r="C5" s="104" t="str">
        <x:v>Accoglienza</x:v>
      </x:c>
      <x:c r="D5" s="104" t="str">
        <x:v>Dopo Esperienza memorabile</x:v>
      </x:c>
      <x:c r="E5" s="104" t="str">
        <x:v>departureChanceReduction</x:v>
      </x:c>
      <x:c r="F5" s="104" t="str">
        <x:v>5 × -3% partenze annue</x:v>
      </x:c>
      <x:c r="G5" s="104" t="str">
        <x:v>€6.500</x:v>
      </x:c>
      <x:c r="H5" s="104" t="str">
        <x:v>1,3</x:v>
      </x:c>
      <x:c r="I5" s="104" t="str">
        <x:v>Alta</x:v>
      </x:c>
      <x:c r="J5" s="104" t="str">
        <x:v>Riempie il buco della retention; cap suggerito 25% e nessun effetto sui leggendari.</x:v>
      </x:c>
    </x:row>
    <x:row r="6" ht="58" customHeight="1">
      <x:c r="A6" s="104" t="n">
        <x:v>2</x:v>
      </x:c>
      <x:c r="B6" s="104" t="str">
        <x:v>Follow-up automatico</x:v>
      </x:c>
      <x:c r="C6" s="104" t="str">
        <x:v>Scrittura</x:v>
      </x:c>
      <x:c r="D6" s="104" t="str">
        <x:v>Dopo Call to action</x:v>
      </x:c>
      <x:c r="E6" s="104" t="str">
        <x:v>emailOutcomeTimeReduction</x:v>
      </x:c>
      <x:c r="F6" s="104" t="str">
        <x:v>5 × -5% tempo esito</x:v>
      </x:c>
      <x:c r="G6" s="104" t="str">
        <x:v>€1.200</x:v>
      </x:c>
      <x:c r="H6" s="104" t="str">
        <x:v>1,3</x:v>
      </x:c>
      <x:c r="I6" s="104" t="str">
        <x:v>Media</x:v>
      </x:c>
      <x:c r="J6" s="104" t="str">
        <x:v>Riduce attese senza aumentare direttamente la conversione; cap 30% per non collassare il ritmo.</x:v>
      </x:c>
    </x:row>
    <x:row r="7" ht="58" customHeight="1">
      <x:c r="A7" s="104" t="n">
        <x:v>3</x:v>
      </x:c>
      <x:c r="B7" s="104" t="str">
        <x:v>Logistica eventi</x:v>
      </x:c>
      <x:c r="C7" s="104" t="str">
        <x:v>Carisma</x:v>
      </x:c>
      <x:c r="D7" s="104" t="str">
        <x:v>Dopo Stand riconoscibile</x:v>
      </x:c>
      <x:c r="E7" s="104" t="str">
        <x:v>eventCooldownReduction</x:v>
      </x:c>
      <x:c r="F7" s="104" t="str">
        <x:v>5 × -8% cooldown</x:v>
      </x:c>
      <x:c r="G7" s="104" t="str">
        <x:v>€2.000</x:v>
      </x:c>
      <x:c r="H7" s="104" t="str">
        <x:v>1,3</x:v>
      </x:c>
      <x:c r="I7" s="104" t="str">
        <x:v>Media</x:v>
      </x:c>
      <x:c r="J7" s="104" t="str">
        <x:v>Crea un asse frequenza distinto da presenze/contatti; cap 40%.</x:v>
      </x:c>
    </x:row>
    <x:row r="8" ht="58" customHeight="1">
      <x:c r="A8" s="104" t="n">
        <x:v>4</x:v>
      </x:c>
      <x:c r="B8" s="104" t="str">
        <x:v>Piano di allenamento</x:v>
      </x:c>
      <x:c r="C8" s="104" t="str">
        <x:v>Istruttori</x:v>
      </x:c>
      <x:c r="D8" s="104" t="str">
        <x:v>Prima di Extra Forma</x:v>
      </x:c>
      <x:c r="E8" s="104" t="str">
        <x:v>trainingDurationReduction</x:v>
      </x:c>
      <x:c r="F8" s="104" t="str">
        <x:v>5 × -6% durata</x:v>
      </x:c>
      <x:c r="G8" s="104" t="str">
        <x:v>€2.500</x:v>
      </x:c>
      <x:c r="H8" s="104" t="str">
        <x:v>1,3</x:v>
      </x:c>
      <x:c r="I8" s="104" t="str">
        <x:v>Media</x:v>
      </x:c>
      <x:c r="J8" s="104" t="str">
        <x:v>Aggiunge progressione precoce al ramo Istruttori, oggi concentrato in tre acquisti costosi.</x:v>
      </x:c>
    </x:row>
    <x:row r="9" ht="58" customHeight="1">
      <x:c r="A9" s="104" t="n">
        <x:v>5</x:v>
      </x:c>
      <x:c r="B9" s="104" t="str">
        <x:v>Passaparola strutturato</x:v>
      </x:c>
      <x:c r="C9" s="104" t="str">
        <x:v>Accoglienza</x:v>
      </x:c>
      <x:c r="D9" s="104" t="str">
        <x:v>Dopo Collaboratore dedicato</x:v>
      </x:c>
      <x:c r="E9" s="104" t="str">
        <x:v>referralChance</x:v>
      </x:c>
      <x:c r="F9" s="104" t="str">
        <x:v>5 × +2% chance referral</x:v>
      </x:c>
      <x:c r="G9" s="104" t="str">
        <x:v>€2.500</x:v>
      </x:c>
      <x:c r="H9" s="104" t="str">
        <x:v>1,3</x:v>
      </x:c>
      <x:c r="I9" s="104" t="str">
        <x:v>Alta</x:v>
      </x:c>
      <x:c r="J9" s="104" t="str">
        <x:v>Dà identità al ramo; richiede cap e cooldown per evitare crescita esponenziale.</x:v>
      </x:c>
    </x:row>
    <x:row r="10" ht="58" customHeight="1">
      <x:c r="A10" s="104" t="n">
        <x:v>6</x:v>
      </x:c>
      <x:c r="B10" s="104" t="str">
        <x:v>Analisi dei contenuti</x:v>
      </x:c>
      <x:c r="C10" s="104" t="str">
        <x:v>Social</x:v>
      </x:c>
      <x:c r="D10" s="104" t="str">
        <x:v>Dopo Video dimostrativo</x:v>
      </x:c>
      <x:c r="E10" s="104" t="str">
        <x:v>socialViralChanceBonus</x:v>
      </x:c>
      <x:c r="F10" s="104" t="str">
        <x:v>5 × +1,5 punti % virale</x:v>
      </x:c>
      <x:c r="G10" s="104" t="str">
        <x:v>€2.000</x:v>
      </x:c>
      <x:c r="H10" s="104" t="str">
        <x:v>1,3</x:v>
      </x:c>
      <x:c r="I10" s="104" t="str">
        <x:v>Media</x:v>
      </x:c>
      <x:c r="J10" s="104" t="str">
        <x:v>Separa quantità e probabilità virale; cap complessivo suggerito 25%.</x:v>
      </x:c>
    </x:row>
    <x:row r="11" ht="58" customHeight="1">
      <x:c r="A11" s="104" t="n">
        <x:v>7</x:v>
      </x:c>
      <x:c r="B11" s="104" t="str">
        <x:v>Sponsor locali</x:v>
      </x:c>
      <x:c r="C11" s="104" t="str">
        <x:v>Organizzazione</x:v>
      </x:c>
      <x:c r="D11" s="104" t="str">
        <x:v>Dopo Segreteria</x:v>
      </x:c>
      <x:c r="E11" s="104" t="str">
        <x:v>tournamentRewardMultiplier</x:v>
      </x:c>
      <x:c r="F11" s="104" t="str">
        <x:v>5 × +10% premi tornei</x:v>
      </x:c>
      <x:c r="G11" s="104" t="str">
        <x:v>€5.000</x:v>
      </x:c>
      <x:c r="H11" s="104" t="str">
        <x:v>1,3</x:v>
      </x:c>
      <x:c r="I11" s="104" t="str">
        <x:v>Media</x:v>
      </x:c>
      <x:c r="J11" s="104" t="str">
        <x:v>Collega lo shop al sistema tornei senza potenziare il funnel principale.</x:v>
      </x:c>
    </x:row>
    <x:row r="12" ht="58" customHeight="1">
      <x:c r="A12" s="104" t="n">
        <x:v>8</x:v>
      </x:c>
      <x:c r="B12" s="104" t="str">
        <x:v>Manutenzione preventiva</x:v>
      </x:c>
      <x:c r="C12" s="104" t="str">
        <x:v>Attrezzatura</x:v>
      </x:c>
      <x:c r="D12" s="104" t="str">
        <x:v>Al posto di Ricambi essenziali</x:v>
      </x:c>
      <x:c r="E12" s="104" t="str">
        <x:v>maintenanceCostReduction</x:v>
      </x:c>
      <x:c r="F12" s="104" t="str">
        <x:v>5 × -8% costo manutenzione</x:v>
      </x:c>
      <x:c r="G12" s="104" t="str">
        <x:v>€1.300</x:v>
      </x:c>
      <x:c r="H12" s="104" t="str">
        <x:v>1,3</x:v>
      </x:c>
      <x:c r="I12" s="104" t="str">
        <x:v>Bassa</x:v>
      </x:c>
      <x:c r="J12" s="104" t="str">
        <x:v>Sostituisce un duplicato e non compete col cap usura; cap 50%.</x:v>
      </x:c>
    </x:row>
    <x:row r="13" ht="58" customHeight="1">
      <x:c r="A13" s="104" t="n">
        <x:v>9</x:v>
      </x:c>
      <x:c r="B13" s="104" t="str">
        <x:v>Affiancamento didattico</x:v>
      </x:c>
      <x:c r="C13" s="104" t="str">
        <x:v>Istruttori</x:v>
      </x:c>
      <x:c r="D13" s="104" t="str">
        <x:v>Tra Polivalenza e Tiamat</x:v>
      </x:c>
      <x:c r="E13" s="104" t="str">
        <x:v>teachingTrainingPenaltyReduction</x:v>
      </x:c>
      <x:c r="F13" s="104" t="str">
        <x:v>3 × -20% penalità</x:v>
      </x:c>
      <x:c r="G13" s="104" t="str">
        <x:v>€4.000</x:v>
      </x:c>
      <x:c r="H13" s="104" t="str">
        <x:v>1,6</x:v>
      </x:c>
      <x:c r="I13" s="104" t="str">
        <x:v>Media</x:v>
      </x:c>
      <x:c r="J13" s="104" t="str">
        <x:v>Valorizza istruttori occupati senza aumentare direttamente la capienza.</x:v>
      </x:c>
    </x:row>
    <x:row r="14" ht="58" customHeight="1">
      <x:c r="A14" s="104" t="n">
        <x:v>10</x:v>
      </x:c>
      <x:c r="B14" s="104" t="str">
        <x:v>Economie di rete</x:v>
      </x:c>
      <x:c r="C14" s="104" t="str">
        <x:v>Organizzazione</x:v>
      </x:c>
      <x:c r="D14" s="104" t="str">
        <x:v>Solo dopo 1 scuola fondata</x:v>
      </x:c>
      <x:c r="E14" s="104" t="str">
        <x:v>networkUpgradeSurchargeReduction</x:v>
      </x:c>
      <x:c r="F14" s="104" t="str">
        <x:v>5 × -2 punti % rincaro/scuola</x:v>
      </x:c>
      <x:c r="G14" s="104" t="str">
        <x:v>€8.000</x:v>
      </x:c>
      <x:c r="H14" s="104" t="str">
        <x:v>1,5</x:v>
      </x:c>
      <x:c r="I14" s="104" t="str">
        <x:v>Alta</x:v>
      </x:c>
      <x:c r="J14" s="104" t="str">
        <x:v>Contrasta il +15% per scuola; va limitato per non annullare il costo del prestige.</x:v>
      </x:c>
    </x:row>
  </x:sheetData>
  <x:mergeCells>
    <x:mergeCell ref="A1:J2"/>
    <x:mergeCell ref="A3:J3"/>
  </x:mergeCells>
  <x:conditionalFormatting sqref="I5:I14">
    <x:cfRule type="containsText" dxfId="4" priority="1" operator="containsText" text="Alta"/>
    <x:cfRule type="containsText" dxfId="5" priority="2" operator="containsText" text="Media"/>
    <x:cfRule type="containsText" dxfId="6" priority="3" operator="containsText" text="Bassa"/>
  </x:conditionalFormatting>
  <x:pageMargins left="0.7" right="0.7" top="0.75" bottom="0.75" header="0.3" footer="0.3"/>
  <x:tableParts count="1">
    <x:tablePart xmlns:r="http://schemas.openxmlformats.org/officeDocument/2006/relationships" r:id="Rb936836fdabb4e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24" hidden="0" customWidth="1"/>
    <x:col min="4" max="4" width="30" hidden="0" customWidth="1"/>
    <x:col min="5" max="5" width="52" hidden="0" customWidth="1"/>
    <x:col min="6" max="6" width="46" hidden="0" customWidth="1"/>
  </x:cols>
  <x:sheetData>
    <x:row r="1" ht="34" customHeight="1">
      <x:c r="A1" s="3" t="str">
        <x:v>Metodo, formule e rischi strutturali</x:v>
      </x:c>
      <x:c r="B1" s="3" t="str">
        <x:v>Metodo, formule e rischi strutturali</x:v>
      </x:c>
      <x:c r="C1" s="3" t="str">
        <x:v>Metodo, formule e rischi strutturali</x:v>
      </x:c>
      <x:c r="D1" s="3" t="str">
        <x:v>Metodo, formule e rischi strutturali</x:v>
      </x:c>
      <x:c r="E1" s="3" t="str">
        <x:v>Metodo, formule e rischi strutturali</x:v>
      </x:c>
      <x:c r="F1" s="3" t="str">
        <x:v>Metodo, formule e rischi strutturali</x:v>
      </x:c>
    </x:row>
    <x:row r="2">
      <x:c r="A2" s="3" t="str">
        <x:v>Metodo, formule e rischi strutturali</x:v>
      </x:c>
      <x:c r="B2" s="3" t="str">
        <x:v>Metodo, formule e rischi strutturali</x:v>
      </x:c>
      <x:c r="C2" s="3" t="str">
        <x:v>Metodo, formule e rischi strutturali</x:v>
      </x:c>
      <x:c r="D2" s="3" t="str">
        <x:v>Metodo, formule e rischi strutturali</x:v>
      </x:c>
      <x:c r="E2" s="3" t="str">
        <x:v>Metodo, formule e rischi strutturali</x:v>
      </x:c>
      <x:c r="F2" s="3" t="str">
        <x:v>Metodo, formule e rischi strutturali</x:v>
      </x:c>
    </x:row>
    <x:row r="4" ht="34" customHeight="1">
      <x:c r="A4" s="89" t="str">
        <x:v>Tema</x:v>
      </x:c>
      <x:c r="B4" s="89" t="str">
        <x:v>Formula / comportamento</x:v>
      </x:c>
      <x:c r="C4" s="89" t="str">
        <x:v>Massimo catalogo</x:v>
      </x:c>
      <x:c r="D4" s="89" t="str">
        <x:v>Cap / interazione</x:v>
      </x:c>
      <x:c r="E4" s="89" t="str">
        <x:v>Impatto bilanciamento</x:v>
      </x:c>
      <x:c r="F4" s="89" t="str">
        <x:v>Fonte runtime</x:v>
      </x:c>
    </x:row>
    <x:row r="5" ht="62" customHeight="1">
      <x:c r="A5" s="104" t="str">
        <x:v>Costo</x:v>
      </x:c>
      <x:c r="B5" s="104" t="str">
        <x:v>round(base × crescita^livello × (1 + scuole × 15%))</x:v>
      </x:c>
      <x:c r="C5" s="104" t="str">
        <x:v>€1.006.555 a 0 scuole</x:v>
      </x:c>
      <x:c r="D5" s="104" t="str">
        <x:v>+15% per scuola</x:v>
      </x:c>
      <x:c r="E5" s="104" t="str">
        <x:v>Gli upgrade si resettano al prestige, gli storici restano.</x:v>
      </x:c>
      <x:c r="F5" s="104" t="str">
        <x:v>src/content/upgrades.ts; src/game/schoolProgressionFlow.ts</x:v>
      </x:c>
    </x:row>
    <x:row r="6" ht="62" customHeight="1">
      <x:c r="A6" s="104" t="str">
        <x:v>Prerequisiti</x:v>
      </x:c>
      <x:c r="B6" s="104" t="str">
        <x:v>Soglia storici + tutti i nodi precedenti del ramo al massimo</x:v>
      </x:c>
      <x:c r="C6" s="104" t="str">
        <x:v>Sequenza rigida</x:v>
      </x:c>
      <x:c r="D6" s="104" t="str">
        <x:v>Nessuna alternativa interna</x:v>
      </x:c>
      <x:c r="E6" s="104" t="str">
        <x:v>Ogni nodo debole tassa tutti quelli successivi.</x:v>
      </x:c>
      <x:c r="F6" s="104" t="str">
        <x:v>src/content/upgrades.ts</x:v>
      </x:c>
    </x:row>
    <x:row r="7" ht="62" customHeight="1">
      <x:c r="A7" s="104" t="str">
        <x:v>Scrittura manuale</x:v>
      </x:c>
      <x:c r="B7" s="104" t="str">
        <x:v>1 + floor(somma writingPower)</x:v>
      </x:c>
      <x:c r="C7" s="104" t="str">
        <x:v>+14 (base 1)</x:v>
      </x:c>
      <x:c r="D7" s="104" t="str">
        <x:v>Floor prima dei bonus rete/specializzazione</x:v>
      </x:c>
      <x:c r="E7" s="104" t="str">
        <x:v>Le frazioni creano livelli senza feedback immediato.</x:v>
      </x:c>
      <x:c r="F7" s="104" t="str">
        <x:v>src/game/formulas.ts</x:v>
      </x:c>
    </x:row>
    <x:row r="8" ht="62" customHeight="1">
      <x:c r="A8" s="104" t="str">
        <x:v>Prenotazioni</x:v>
      </x:c>
      <x:c r="B8" s="104" t="str">
        <x:v>base rarità × (1 + bonus + specializzazione)</x:v>
      </x:c>
      <x:c r="C8" s="104" t="str">
        <x:v>+575% nominale</x:v>
      </x:c>
      <x:c r="D8" s="104" t="str">
        <x:v>Chance clamp 1–100%</x:v>
      </x:c>
      <x:c r="E8" s="104" t="str">
        <x:v>Comune satura con +150%; leggendario parte già al 100%.</x:v>
      </x:c>
      <x:c r="F8" s="104" t="str">
        <x:v>src/game/formulas.ts; src/content/rarities.ts</x:v>
      </x:c>
    </x:row>
    <x:row r="9" ht="62" customHeight="1">
      <x:c r="A9" s="104" t="str">
        <x:v>Iscrizioni</x:v>
      </x:c>
      <x:c r="B9" s="104" t="str">
        <x:v>interpolazione base→max tramite bonus / massimo catalogo</x:v>
      </x:c>
      <x:c r="C9" s="104" t="str">
        <x:v>Indice 5</x:v>
      </x:c>
      <x:c r="D9" s="104" t="str">
        <x:v>Progresso clamp 0–1</x:v>
      </x:c>
      <x:c r="E9" s="104" t="str">
        <x:v>Aggiungere un upgrade dello stesso effetto indebolisce retroattivamente tutti.</x:v>
      </x:c>
      <x:c r="F9" s="104" t="str">
        <x:v>src/game/formulas.ts</x:v>
      </x:c>
    </x:row>
    <x:row r="10" ht="62" customHeight="1">
      <x:c r="A10" s="104" t="str">
        <x:v>Contatti eventi</x:v>
      </x:c>
      <x:c r="B10" s="104" t="str">
        <x:v>Bonus applicato a dimostrazioni e contactRate</x:v>
      </x:c>
      <x:c r="C10" s="104" t="str">
        <x:v>+450%</x:v>
      </x:c>
      <x:c r="D10" s="104" t="str">
        <x:v>contactRate clamp 100%</x:v>
      </x:c>
      <x:c r="E10" s="104" t="str">
        <x:v>Quasi quadratico prima del cap, poi lineare.</x:v>
      </x:c>
      <x:c r="F10" s="104" t="str">
        <x:v>src/game/formulas.ts</x:v>
      </x:c>
    </x:row>
    <x:row r="11" ht="62" customHeight="1">
      <x:c r="A11" s="104" t="str">
        <x:v>Presenze eventi</x:v>
      </x:c>
      <x:c r="B11" s="104" t="str">
        <x:v>1 + bonus presenze + spec + rete</x:v>
      </x:c>
      <x:c r="C11" s="104" t="str">
        <x:v>+300%</x:v>
      </x:c>
      <x:c r="D11" s="104" t="str">
        <x:v>Nessun cap diretto</x:v>
      </x:c>
      <x:c r="E11" s="104" t="str">
        <x:v>Moltiplica a sua volta il funnel contatti.</x:v>
      </x:c>
      <x:c r="F11" s="104" t="str">
        <x:v>src/game/formulas.ts</x:v>
      </x:c>
    </x:row>
    <x:row r="12" ht="62" customHeight="1">
      <x:c r="A12" s="104" t="str">
        <x:v>Social</x:v>
      </x:c>
      <x:c r="B12" s="104" t="str">
        <x:v>(1 + Social) × (1 + Automazione)</x:v>
      </x:c>
      <x:c r="C12" s="104" t="str">
        <x:v>9,75 × 8 = 78×</x:v>
      </x:c>
      <x:c r="D12" s="104" t="str">
        <x:v>Richiede collaboratori/produttività</x:v>
      </x:c>
      <x:c r="E12" s="104" t="str">
        <x:v>Rischio di runaway production late-game.</x:v>
      </x:c>
      <x:c r="F12" s="104" t="str">
        <x:v>src/game/automationFlow.ts</x:v>
      </x:c>
    </x:row>
    <x:row r="13" ht="62" customHeight="1">
      <x:c r="A13" s="104" t="str">
        <x:v>Usura</x:v>
      </x:c>
      <x:c r="B13" s="104" t="str">
        <x:v>usura × (1 - min(80%, riduzione))</x:v>
      </x:c>
      <x:c r="C13" s="104" t="str">
        <x:v>125% acquistabile</x:v>
      </x:c>
      <x:c r="D13" s="104" t="str">
        <x:v>80% effettivo</x:v>
      </x:c>
      <x:c r="E13" s="104" t="str">
        <x:v>45 punti percentuali nominali non possono essere usati.</x:v>
      </x:c>
      <x:c r="F13" s="104" t="str">
        <x:v>src/game/eventFlow.ts</x:v>
      </x:c>
    </x:row>
    <x:row r="14" ht="62" customHeight="1">
      <x:c r="A14" s="104" t="str">
        <x:v>Spade</x:v>
      </x:c>
      <x:c r="B14" s="104" t="str">
        <x:v>+2 per livello Rastrelliera</x:v>
      </x:c>
      <x:c r="C14" s="104" t="str">
        <x:v>+10</x:v>
      </x:c>
      <x:c r="D14" s="104" t="str">
        <x:v>Spada ufficiale €330</x:v>
      </x:c>
      <x:c r="E14" s="104" t="str">
        <x:v>Rastrelliera parte da €375/spada e peggiora.</x:v>
      </x:c>
      <x:c r="F14" s="104" t="str">
        <x:v>src/game/upgradeFlow.ts; src/game/config.ts</x:v>
      </x:c>
    </x:row>
    <x:row r="15" ht="62" customHeight="1">
      <x:c r="A15" s="104" t="str">
        <x:v>Automazione</x:v>
      </x:c>
      <x:c r="B15" s="104" t="str">
        <x:v>1 + somma bonus</x:v>
      </x:c>
      <x:c r="C15" s="104" t="str">
        <x:v>+700%</x:v>
      </x:c>
      <x:c r="D15" s="104" t="str">
        <x:v>Moltiplica 3 sistemi</x:v>
      </x:c>
      <x:c r="E15" s="104" t="str">
        <x:v>Valore molto più ampio di quanto suggeriscono alcune etichette tematiche.</x:v>
      </x:c>
      <x:c r="F15" s="104" t="str">
        <x:v>src/game/automationFlow.ts</x:v>
      </x:c>
    </x:row>
    <x:row r="16" ht="62" customHeight="1">
      <x:c r="A16" s="104" t="str">
        <x:v>Entrate</x:v>
      </x:c>
      <x:c r="B16" s="104" t="str">
        <x:v>(quote + reddito rete) × income × bonus rete</x:v>
      </x:c>
      <x:c r="C16" s="104" t="str">
        <x:v>+150%</x:v>
      </x:c>
      <x:c r="D16" s="104" t="str">
        <x:v>Nessun cap</x:v>
      </x:c>
      <x:c r="E16" s="104" t="str">
        <x:v>Payback dipende dagli iscritti attivi.</x:v>
      </x:c>
      <x:c r="F16" s="104" t="str">
        <x:v>src/game/selectors.ts; src/game/membershipFlow.ts</x:v>
      </x:c>
    </x:row>
    <x:row r="17" ht="62" customHeight="1">
      <x:c r="A17" s="104" t="str">
        <x:v>Istruttori</x:v>
      </x:c>
      <x:c r="B17" s="104" t="str">
        <x:v>Effetti letti direttamente dagli ID</x:v>
      </x:c>
      <x:c r="C17" s="104" t="str">
        <x:v>1→2 Forme; 1→3 rami; 1→6 allievi</x:v>
      </x:c>
      <x:c r="D17" s="104" t="str">
        <x:v>Non usa getUpgradeEffectTotal</x:v>
      </x:c>
      <x:c r="E17" s="104" t="str">
        <x:v>Nuovi nodi dello stesso tipo non si sommano automaticamente.</x:v>
      </x:c>
      <x:c r="F17" s="104" t="str">
        <x:v>src/game/trainingFlow.ts; src/game/selectors.ts</x:v>
      </x:c>
    </x:row>
    <x:row r="18" ht="62" customHeight="1">
      <x:c r="A18" s="104" t="str">
        <x:v>Presentazione email</x:v>
      </x:c>
      <x:c r="B18" s="104" t="str">
        <x:v>Ogni livello del nodo attivo miscela 20% del nuovo catalogo</x:v>
      </x:c>
      <x:c r="C18" s="104" t="str">
        <x:v>7 stadi</x:v>
      </x:c>
      <x:c r="D18" s="104" t="str">
        <x:v>Indipendente dal cap prenotazioni</x:v>
      </x:c>
      <x:c r="E18" s="104" t="str">
        <x:v>Conserva valore ai nodi Scrittura anche dopo la saturazione numerica.</x:v>
      </x:c>
      <x:c r="F18" s="104" t="str">
        <x:v>src/content/emailPresentation.ts</x:v>
      </x:c>
    </x:row>
    <x:row r="19" ht="62" customHeight="1">
      <x:c r="A19" s="104" t="str">
        <x:v>Persistenza</x:v>
      </x:c>
      <x:c r="B19" s="104" t="str">
        <x:v>Nuova scuola ricrea lo stato base</x:v>
      </x:c>
      <x:c r="C19" s="104" t="str">
        <x:v>Upgrade/euro/collaboratori resettati</x:v>
      </x:c>
      <x:c r="D19" s="104" t="str">
        <x:v>Storici/statistiche/rete conservati</x:v>
      </x:c>
      <x:c r="E19" s="104" t="str">
        <x:v>Con bonus rete +25% e rincaro shop +15% per scuola.</x:v>
      </x:c>
      <x:c r="F19" s="104" t="str">
        <x:v>src/game/schoolProgressionFlow.ts; src/game/config.ts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912be85d54bd4a65"/>
  </x:tableParts>
</x:worksheet>
</file>